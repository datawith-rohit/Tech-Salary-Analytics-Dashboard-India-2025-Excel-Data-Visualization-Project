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124226"/>
  <mc:AlternateContent xmlns:mc="http://schemas.openxmlformats.org/markup-compatibility/2006">
    <mc:Choice Requires="x15">
      <x15ac:absPath xmlns:x15ac="http://schemas.microsoft.com/office/spreadsheetml/2010/11/ac" url="C:\Data Science with AI &amp; ML\Excel\Project\"/>
    </mc:Choice>
  </mc:AlternateContent>
  <xr:revisionPtr revIDLastSave="0" documentId="13_ncr:1_{DEA3FEAE-9812-4D26-903C-DF198F3D6C11}" xr6:coauthVersionLast="47" xr6:coauthVersionMax="47" xr10:uidLastSave="{00000000-0000-0000-0000-000000000000}"/>
  <bookViews>
    <workbookView xWindow="-110" yWindow="-110" windowWidth="19420" windowHeight="10300" xr2:uid="{00000000-000D-0000-FFFF-FFFF00000000}"/>
  </bookViews>
  <sheets>
    <sheet name="Dashboard" sheetId="10" r:id="rId1"/>
    <sheet name="TechSalaryDataset" sheetId="1" r:id="rId2"/>
    <sheet name="Salary Comparison by role" sheetId="2" r:id="rId3"/>
    <sheet name="SalaryGrowthCurv" sheetId="4" r:id="rId4"/>
    <sheet name="city vs Avg salary" sheetId="3" r:id="rId5"/>
    <sheet name="male vs female salary" sheetId="5" r:id="rId6"/>
    <sheet name="CompanyTypeImpact" sheetId="6" r:id="rId7"/>
    <sheet name="Average Salary by Education" sheetId="7" r:id="rId8"/>
    <sheet name="Headcount Distribution" sheetId="8" r:id="rId9"/>
    <sheet name="Sheet10" sheetId="12" r:id="rId10"/>
  </sheets>
  <definedNames>
    <definedName name="Slicer_City">#N/A</definedName>
    <definedName name="Slicer_Company_Type1">#N/A</definedName>
    <definedName name="Slicer_Education1">#N/A</definedName>
    <definedName name="Slicer_Experience_Level1">#N/A</definedName>
    <definedName name="Slicer_Gender">#N/A</definedName>
    <definedName name="Slicer_Generic_Rol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alcChain>
</file>

<file path=xl/sharedStrings.xml><?xml version="1.0" encoding="utf-8"?>
<sst xmlns="http://schemas.openxmlformats.org/spreadsheetml/2006/main" count="7074" uniqueCount="47">
  <si>
    <t>Job Role</t>
  </si>
  <si>
    <t>Experience Level</t>
  </si>
  <si>
    <t>Gender</t>
  </si>
  <si>
    <t>City</t>
  </si>
  <si>
    <t>Education</t>
  </si>
  <si>
    <t>Company Type</t>
  </si>
  <si>
    <t>Salary (CTC INR)</t>
  </si>
  <si>
    <t>Salary (Take-Home INR)</t>
  </si>
  <si>
    <t>Generic Role</t>
  </si>
  <si>
    <t>Data Analyst</t>
  </si>
  <si>
    <t>AI Researcher</t>
  </si>
  <si>
    <t>Data Scientist</t>
  </si>
  <si>
    <t>Big Data Engineer</t>
  </si>
  <si>
    <t>Analytics Consultant</t>
  </si>
  <si>
    <t>AI/ML Engineer</t>
  </si>
  <si>
    <t>Entry-Level</t>
  </si>
  <si>
    <t>Senior-Level</t>
  </si>
  <si>
    <t>Mid-Level</t>
  </si>
  <si>
    <t>Female</t>
  </si>
  <si>
    <t>Male</t>
  </si>
  <si>
    <t>Gurgaon</t>
  </si>
  <si>
    <t>Noida</t>
  </si>
  <si>
    <t>Chennai</t>
  </si>
  <si>
    <t>Kolkata</t>
  </si>
  <si>
    <t>Bangalore</t>
  </si>
  <si>
    <t>Pune</t>
  </si>
  <si>
    <t>Delhi</t>
  </si>
  <si>
    <t>Hyderabad</t>
  </si>
  <si>
    <t>Mumbai</t>
  </si>
  <si>
    <t>M.Tech</t>
  </si>
  <si>
    <t>BCA</t>
  </si>
  <si>
    <t>M.Sc</t>
  </si>
  <si>
    <t>PhD</t>
  </si>
  <si>
    <t>B.Sc</t>
  </si>
  <si>
    <t>B.Tech</t>
  </si>
  <si>
    <t>MCA</t>
  </si>
  <si>
    <t>Consultancy</t>
  </si>
  <si>
    <t>Government</t>
  </si>
  <si>
    <t>Startup</t>
  </si>
  <si>
    <t>MNC</t>
  </si>
  <si>
    <t>AI/ML</t>
  </si>
  <si>
    <t>Salary Per Month</t>
  </si>
  <si>
    <t>Row Labels</t>
  </si>
  <si>
    <t>Grand Total</t>
  </si>
  <si>
    <t>Column Labels</t>
  </si>
  <si>
    <t>Average of Salary (CTC INR)</t>
  </si>
  <si>
    <t>Count of Job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</si>
</sst>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2" fillId="2" borderId="0" xfId="0" applyFont="1"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[Tech­_Salary_Dashboard_India_2025.xlsx]SalaryGrowthCurv!PivotTable1</c:name>
    <c:fmtId val="19"/>
  </c:pivotSource>
  <c:chart>
    <c:autoTitleDeleted val="1"/>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SalaryGrowthCurv!$B$3:$B$4</c:f>
              <c:strCache>
                <c:ptCount val="1"/>
                <c:pt idx="0">
                  <c:v>AI/ML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SalaryGrowthCurv!$A$5:$A$7</c:f>
              <c:strCache>
                <c:ptCount val="3"/>
                <c:pt idx="0">
                  <c:v>Entry-Level</c:v>
                </c:pt>
                <c:pt idx="1">
                  <c:v>Mid-Level</c:v>
                </c:pt>
                <c:pt idx="2">
                  <c:v>Senior-Level</c:v>
                </c:pt>
              </c:strCache>
            </c:strRef>
          </c:cat>
          <c:val>
            <c:numRef>
              <c:f>SalaryGrowthCurv!$B$5:$B$7</c:f>
              <c:numCache>
                <c:formatCode>"₹"\ #,##0.00</c:formatCode>
                <c:ptCount val="3"/>
                <c:pt idx="0">
                  <c:v>1109968.2038834952</c:v>
                </c:pt>
                <c:pt idx="1">
                  <c:v>2333037.8571428573</c:v>
                </c:pt>
                <c:pt idx="2">
                  <c:v>5048590.6722689075</c:v>
                </c:pt>
              </c:numCache>
            </c:numRef>
          </c:val>
          <c:smooth val="0"/>
          <c:extLst>
            <c:ext xmlns:c16="http://schemas.microsoft.com/office/drawing/2014/chart" uri="{C3380CC4-5D6E-409C-BE32-E72D297353CC}">
              <c16:uniqueId val="{00000001-3200-47D8-84DF-06D0B575444D}"/>
            </c:ext>
          </c:extLst>
        </c:ser>
        <c:ser>
          <c:idx val="1"/>
          <c:order val="1"/>
          <c:tx>
            <c:strRef>
              <c:f>SalaryGrowthCurv!$C$3:$C$4</c:f>
              <c:strCache>
                <c:ptCount val="1"/>
                <c:pt idx="0">
                  <c:v>Data Analyst</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SalaryGrowthCurv!$A$5:$A$7</c:f>
              <c:strCache>
                <c:ptCount val="3"/>
                <c:pt idx="0">
                  <c:v>Entry-Level</c:v>
                </c:pt>
                <c:pt idx="1">
                  <c:v>Mid-Level</c:v>
                </c:pt>
                <c:pt idx="2">
                  <c:v>Senior-Level</c:v>
                </c:pt>
              </c:strCache>
            </c:strRef>
          </c:cat>
          <c:val>
            <c:numRef>
              <c:f>SalaryGrowthCurv!$C$5:$C$7</c:f>
              <c:numCache>
                <c:formatCode>"₹"\ #,##0.00</c:formatCode>
                <c:ptCount val="3"/>
                <c:pt idx="0">
                  <c:v>735634.85436893208</c:v>
                </c:pt>
                <c:pt idx="1">
                  <c:v>1558787.05</c:v>
                </c:pt>
                <c:pt idx="2">
                  <c:v>3299132.1120000002</c:v>
                </c:pt>
              </c:numCache>
            </c:numRef>
          </c:val>
          <c:smooth val="0"/>
          <c:extLst>
            <c:ext xmlns:c16="http://schemas.microsoft.com/office/drawing/2014/chart" uri="{C3380CC4-5D6E-409C-BE32-E72D297353CC}">
              <c16:uniqueId val="{00000003-345A-4B0A-B5E4-833356BE15FC}"/>
            </c:ext>
          </c:extLst>
        </c:ser>
        <c:ser>
          <c:idx val="2"/>
          <c:order val="2"/>
          <c:tx>
            <c:strRef>
              <c:f>SalaryGrowthCurv!$D$3:$D$4</c:f>
              <c:strCache>
                <c:ptCount val="1"/>
                <c:pt idx="0">
                  <c:v>Data Scientist</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SalaryGrowthCurv!$A$5:$A$7</c:f>
              <c:strCache>
                <c:ptCount val="3"/>
                <c:pt idx="0">
                  <c:v>Entry-Level</c:v>
                </c:pt>
                <c:pt idx="1">
                  <c:v>Mid-Level</c:v>
                </c:pt>
                <c:pt idx="2">
                  <c:v>Senior-Level</c:v>
                </c:pt>
              </c:strCache>
            </c:strRef>
          </c:cat>
          <c:val>
            <c:numRef>
              <c:f>SalaryGrowthCurv!$D$5:$D$7</c:f>
              <c:numCache>
                <c:formatCode>"₹"\ #,##0.00</c:formatCode>
                <c:ptCount val="3"/>
                <c:pt idx="0">
                  <c:v>816502.33644859819</c:v>
                </c:pt>
                <c:pt idx="1">
                  <c:v>1845299.7456140351</c:v>
                </c:pt>
                <c:pt idx="2">
                  <c:v>4126946</c:v>
                </c:pt>
              </c:numCache>
            </c:numRef>
          </c:val>
          <c:smooth val="0"/>
          <c:extLst>
            <c:ext xmlns:c16="http://schemas.microsoft.com/office/drawing/2014/chart" uri="{C3380CC4-5D6E-409C-BE32-E72D297353CC}">
              <c16:uniqueId val="{00000004-345A-4B0A-B5E4-833356BE15FC}"/>
            </c:ext>
          </c:extLst>
        </c:ser>
        <c:dLbls>
          <c:showLegendKey val="0"/>
          <c:showVal val="0"/>
          <c:showCatName val="0"/>
          <c:showSerName val="0"/>
          <c:showPercent val="0"/>
          <c:showBubbleSize val="0"/>
        </c:dLbls>
        <c:marker val="1"/>
        <c:smooth val="0"/>
        <c:axId val="251812447"/>
        <c:axId val="251822527"/>
      </c:lineChart>
      <c:catAx>
        <c:axId val="251812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22527"/>
        <c:crosses val="autoZero"/>
        <c:auto val="1"/>
        <c:lblAlgn val="ctr"/>
        <c:lblOffset val="100"/>
        <c:noMultiLvlLbl val="0"/>
      </c:catAx>
      <c:valAx>
        <c:axId val="251822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12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[Tech­_Salary_Dashboard_India_2025.xlsx]city vs Avg salary!PivotTable2</c:name>
    <c:fmtId val="13"/>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solidFill>
              <a:schemeClr val="lt1"/>
            </a:solid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lt1"/>
            </a:solid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lt1"/>
            </a:solid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vs Avg salary'!$C$3</c:f>
              <c:strCache>
                <c:ptCount val="1"/>
                <c:pt idx="0">
                  <c:v>Total</c:v>
                </c:pt>
              </c:strCache>
            </c:strRef>
          </c:tx>
          <c:spPr>
            <a:solidFill>
              <a:schemeClr val="accent1"/>
            </a:solidFill>
            <a:ln>
              <a:noFill/>
            </a:ln>
            <a:effectLst/>
          </c:spPr>
          <c:invertIfNegative val="0"/>
          <c:dLbls>
            <c:spPr>
              <a:solidFill>
                <a:schemeClr val="lt1"/>
              </a:solid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vs Avg salary'!$B$4:$B$13</c:f>
              <c:strCache>
                <c:ptCount val="9"/>
                <c:pt idx="0">
                  <c:v>Bangalore</c:v>
                </c:pt>
                <c:pt idx="1">
                  <c:v>Chennai</c:v>
                </c:pt>
                <c:pt idx="2">
                  <c:v>Delhi</c:v>
                </c:pt>
                <c:pt idx="3">
                  <c:v>Gurgaon</c:v>
                </c:pt>
                <c:pt idx="4">
                  <c:v>Hyderabad</c:v>
                </c:pt>
                <c:pt idx="5">
                  <c:v>Kolkata</c:v>
                </c:pt>
                <c:pt idx="6">
                  <c:v>Mumbai</c:v>
                </c:pt>
                <c:pt idx="7">
                  <c:v>Noida</c:v>
                </c:pt>
                <c:pt idx="8">
                  <c:v>Pune</c:v>
                </c:pt>
              </c:strCache>
            </c:strRef>
          </c:cat>
          <c:val>
            <c:numRef>
              <c:f>'city vs Avg salary'!$C$4:$C$13</c:f>
              <c:numCache>
                <c:formatCode>"₹"\ #,##0.00</c:formatCode>
                <c:ptCount val="9"/>
                <c:pt idx="0">
                  <c:v>2478993.3465346536</c:v>
                </c:pt>
                <c:pt idx="1">
                  <c:v>2341830.2636363637</c:v>
                </c:pt>
                <c:pt idx="2">
                  <c:v>2488222.6637931033</c:v>
                </c:pt>
                <c:pt idx="3">
                  <c:v>2298943</c:v>
                </c:pt>
                <c:pt idx="4">
                  <c:v>2102121.0865384615</c:v>
                </c:pt>
                <c:pt idx="5">
                  <c:v>2645543.4215686275</c:v>
                </c:pt>
                <c:pt idx="6">
                  <c:v>2428841.3980582524</c:v>
                </c:pt>
                <c:pt idx="7">
                  <c:v>2499804.8360655736</c:v>
                </c:pt>
                <c:pt idx="8">
                  <c:v>2224513.8951612902</c:v>
                </c:pt>
              </c:numCache>
            </c:numRef>
          </c:val>
          <c:extLst>
            <c:ext xmlns:c16="http://schemas.microsoft.com/office/drawing/2014/chart" uri="{C3380CC4-5D6E-409C-BE32-E72D297353CC}">
              <c16:uniqueId val="{00000000-1E81-4754-8685-B32E0F00BB51}"/>
            </c:ext>
          </c:extLst>
        </c:ser>
        <c:dLbls>
          <c:dLblPos val="outEnd"/>
          <c:showLegendKey val="0"/>
          <c:showVal val="1"/>
          <c:showCatName val="0"/>
          <c:showSerName val="0"/>
          <c:showPercent val="0"/>
          <c:showBubbleSize val="0"/>
        </c:dLbls>
        <c:gapWidth val="444"/>
        <c:overlap val="-90"/>
        <c:axId val="175455551"/>
        <c:axId val="175456031"/>
      </c:barChart>
      <c:catAx>
        <c:axId val="17545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456031"/>
        <c:crosses val="autoZero"/>
        <c:auto val="1"/>
        <c:lblAlgn val="ctr"/>
        <c:lblOffset val="100"/>
        <c:noMultiLvlLbl val="0"/>
      </c:catAx>
      <c:valAx>
        <c:axId val="175456031"/>
        <c:scaling>
          <c:orientation val="minMax"/>
        </c:scaling>
        <c:delete val="1"/>
        <c:axPos val="l"/>
        <c:numFmt formatCode="&quot;₹&quot;\ #,##0" sourceLinked="0"/>
        <c:majorTickMark val="none"/>
        <c:minorTickMark val="none"/>
        <c:tickLblPos val="nextTo"/>
        <c:crossAx val="17545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[Tech­_Salary_Dashboard_India_2025.xlsx]male vs female salary!PivotTable3</c:name>
    <c:fmtId val="4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'male vs female salary'!$B$3:$B$4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'male vs female salary'!$A$5:$A$8</c:f>
              <c:strCache>
                <c:ptCount val="3"/>
                <c:pt idx="0">
                  <c:v>AI/ML</c:v>
                </c:pt>
                <c:pt idx="1">
                  <c:v>Data Analyst</c:v>
                </c:pt>
                <c:pt idx="2">
                  <c:v>Data Scientist</c:v>
                </c:pt>
              </c:strCache>
            </c:strRef>
          </c:cat>
          <c:val>
            <c:numRef>
              <c:f>'male vs female salary'!$B$5:$B$8</c:f>
              <c:numCache>
                <c:formatCode>"₹"\ #,##0.00</c:formatCode>
                <c:ptCount val="3"/>
                <c:pt idx="0">
                  <c:v>3007789.0060975607</c:v>
                </c:pt>
                <c:pt idx="1">
                  <c:v>1931032.448979592</c:v>
                </c:pt>
                <c:pt idx="2">
                  <c:v>2183615.4153005467</c:v>
                </c:pt>
              </c:numCache>
            </c:numRef>
          </c:val>
          <c:extLst>
            <c:ext xmlns:c16="http://schemas.microsoft.com/office/drawing/2014/chart" uri="{C3380CC4-5D6E-409C-BE32-E72D297353CC}">
              <c16:uniqueId val="{00000000-B0BE-4BA8-BEC7-CEB28B80A049}"/>
            </c:ext>
          </c:extLst>
        </c:ser>
        <c:ser>
          <c:idx val="1"/>
          <c:order val="1"/>
          <c:tx>
            <c:strRef>
              <c:f>'male vs female salary'!$C$3:$C$4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'male vs female salary'!$A$5:$A$8</c:f>
              <c:strCache>
                <c:ptCount val="3"/>
                <c:pt idx="0">
                  <c:v>AI/ML</c:v>
                </c:pt>
                <c:pt idx="1">
                  <c:v>Data Analyst</c:v>
                </c:pt>
                <c:pt idx="2">
                  <c:v>Data Scientist</c:v>
                </c:pt>
              </c:strCache>
            </c:strRef>
          </c:cat>
          <c:val>
            <c:numRef>
              <c:f>'male vs female salary'!$C$5:$C$8</c:f>
              <c:numCache>
                <c:formatCode>"₹"\ #,##0.00</c:formatCode>
                <c:ptCount val="3"/>
                <c:pt idx="0">
                  <c:v>2913678.2751677851</c:v>
                </c:pt>
                <c:pt idx="1">
                  <c:v>1952197.3026315789</c:v>
                </c:pt>
                <c:pt idx="2">
                  <c:v>2468640.564102564</c:v>
                </c:pt>
              </c:numCache>
            </c:numRef>
          </c:val>
          <c:extLst>
            <c:ext xmlns:c16="http://schemas.microsoft.com/office/drawing/2014/chart" uri="{C3380CC4-5D6E-409C-BE32-E72D297353CC}">
              <c16:uniqueId val="{00000001-4752-412B-B0FE-A204E68337A4}"/>
            </c:ext>
          </c:extLst>
        </c:ser>
        <c:dLbls>
          <c:showLegendKey val="0"/>
          <c:showVal val="0"/>
          <c:showCatName val="0"/>
          <c:showSerName val="0"/>
          <c:showPercent val="0"/>
          <c:showBubbleSize val="0"/>
        </c:dLbls>
        <c:gapWidth val="150"/>
        <c:shape val="box"/>
        <c:axId val="289474319"/>
        <c:axId val="289483919"/>
        <c:axId val="0"/>
      </c:bar3DChart>
      <c:catAx>
        <c:axId val="289474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83919"/>
        <c:crosses val="autoZero"/>
        <c:auto val="1"/>
        <c:lblAlgn val="ctr"/>
        <c:lblOffset val="100"/>
        <c:noMultiLvlLbl val="0"/>
      </c:catAx>
      <c:valAx>
        <c:axId val="289483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7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[Tech­_Salary_Dashboard_India_2025.xlsx]Average Salary by Education!PivotTable6</c:name>
    <c:fmtId val="13"/>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Salary by Education'!$B$3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'Average Salary by Education'!$A$4:$A$11</c:f>
              <c:strCache>
                <c:ptCount val="7"/>
                <c:pt idx="0">
                  <c:v>B.Sc</c:v>
                </c:pt>
                <c:pt idx="1">
                  <c:v>B.Tech</c:v>
                </c:pt>
                <c:pt idx="2">
                  <c:v>BCA</c:v>
                </c:pt>
                <c:pt idx="3">
                  <c:v>M.Sc</c:v>
                </c:pt>
                <c:pt idx="4">
                  <c:v>M.Tech</c:v>
                </c:pt>
                <c:pt idx="5">
                  <c:v>MCA</c:v>
                </c:pt>
                <c:pt idx="6">
                  <c:v>PhD</c:v>
                </c:pt>
              </c:strCache>
            </c:strRef>
          </c:cat>
          <c:val>
            <c:numRef>
              <c:f>'Average Salary by Education'!$B$4:$B$11</c:f>
              <c:numCache>
                <c:formatCode>"₹"\ #,##0.00</c:formatCode>
                <c:ptCount val="7"/>
                <c:pt idx="0">
                  <c:v>2259154.2878787881</c:v>
                </c:pt>
                <c:pt idx="1">
                  <c:v>2323065.4834437086</c:v>
                </c:pt>
                <c:pt idx="2">
                  <c:v>2530877.418181818</c:v>
                </c:pt>
                <c:pt idx="3">
                  <c:v>2365171.6834532376</c:v>
                </c:pt>
                <c:pt idx="4">
                  <c:v>2256752.6338028167</c:v>
                </c:pt>
                <c:pt idx="5">
                  <c:v>2510110.6911764704</c:v>
                </c:pt>
                <c:pt idx="6">
                  <c:v>2445648.4370370372</c:v>
                </c:pt>
              </c:numCache>
            </c:numRef>
          </c:val>
          <c:extLst>
            <c:ext xmlns:c16="http://schemas.microsoft.com/office/drawing/2014/chart" uri="{C3380CC4-5D6E-409C-BE32-E72D297353CC}">
              <c16:uniqueId val="{00000000-BB90-48DA-839C-4787CBB3740A}"/>
            </c:ext>
          </c:extLst>
        </c:ser>
        <c:dLbls>
          <c:showLegendKey val="0"/>
          <c:showVal val="0"/>
          <c:showCatName val="0"/>
          <c:showSerName val="0"/>
          <c:showPercent val="0"/>
          <c:showBubbleSize val="0"/>
        </c:dLbls>
        <c:gapWidth val="150"/>
        <c:shape val="box"/>
        <c:axId val="458184255"/>
        <c:axId val="458184735"/>
        <c:axId val="0"/>
      </c:bar3DChart>
      <c:catAx>
        <c:axId val="458184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8184735"/>
        <c:crosses val="autoZero"/>
        <c:auto val="1"/>
        <c:lblAlgn val="ctr"/>
        <c:lblOffset val="100"/>
        <c:noMultiLvlLbl val="0"/>
      </c:catAx>
      <c:valAx>
        <c:axId val="458184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818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[Tech­_Salary_Dashboard_India_2025.xlsx]CompanyTypeImpact!PivotTable5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2.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a:noFill/>
          </a:ln>
          <a:effectLst/>
        </c:spPr>
        <c:dLbl>
          <c:idx val="0"/>
          <c:layout>
            <c:manualLayout>
              <c:x val="3.0555555555555555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2.777777777777777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schemeClr>
          </a:solidFill>
          <a:ln>
            <a:noFill/>
          </a:ln>
          <a:effectLst/>
        </c:spPr>
        <c:dLbl>
          <c:idx val="0"/>
          <c:layout>
            <c:manualLayout>
              <c:x val="3.6111111111111108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777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3.0555555555555555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2.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3.6111111111111108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777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layout>
            <c:manualLayout>
              <c:x val="3.0555555555555555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2.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dLbl>
          <c:idx val="0"/>
          <c:layout>
            <c:manualLayout>
              <c:x val="3.6111111111111108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CompanyTypeImpact!$B$3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EB5-4932-9C1F-96737D7FC255}"/>
              </c:ext>
            </c:extLst>
          </c:dPt>
          <c:dPt>
            <c:idx val="1"/>
            <c:bubble3D val="0"/>
            <c:spPr>
              <a:solidFill>
                <a:schemeClr val="accent3"/>
              </a:solidFill>
              <a:ln>
                <a:noFill/>
              </a:ln>
              <a:effectLst/>
            </c:spPr>
            <c:extLst>
              <c:ext xmlns:c16="http://schemas.microsoft.com/office/drawing/2014/chart" uri="{C3380CC4-5D6E-409C-BE32-E72D297353CC}">
                <c16:uniqueId val="{00000003-9EB5-4932-9C1F-96737D7FC255}"/>
              </c:ext>
            </c:extLst>
          </c:dPt>
          <c:dPt>
            <c:idx val="2"/>
            <c:bubble3D val="0"/>
            <c:explosion val="1"/>
            <c:spPr>
              <a:solidFill>
                <a:schemeClr val="accent5"/>
              </a:solidFill>
              <a:ln>
                <a:noFill/>
              </a:ln>
              <a:effectLst/>
            </c:spPr>
            <c:extLst>
              <c:ext xmlns:c16="http://schemas.microsoft.com/office/drawing/2014/chart" uri="{C3380CC4-5D6E-409C-BE32-E72D297353CC}">
                <c16:uniqueId val="{00000005-9EB5-4932-9C1F-96737D7FC255}"/>
              </c:ext>
            </c:extLst>
          </c:dPt>
          <c:dPt>
            <c:idx val="3"/>
            <c:bubble3D val="0"/>
            <c:explosion val="1"/>
            <c:spPr>
              <a:solidFill>
                <a:schemeClr val="accent1">
                  <a:lumMod val="60000"/>
                </a:schemeClr>
              </a:solidFill>
              <a:ln>
                <a:noFill/>
              </a:ln>
              <a:effectLst/>
            </c:spPr>
            <c:extLst>
              <c:ext xmlns:c16="http://schemas.microsoft.com/office/drawing/2014/chart" uri="{C3380CC4-5D6E-409C-BE32-E72D297353CC}">
                <c16:uniqueId val="{00000007-9EB5-4932-9C1F-96737D7FC255}"/>
              </c:ext>
            </c:extLst>
          </c:dPt>
          <c:dLbls>
            <c:dLbl>
              <c:idx val="0"/>
              <c:layout>
                <c:manualLayout>
                  <c:x val="-2.777777777777777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EB5-4932-9C1F-96737D7FC255}"/>
                </c:ext>
              </c:extLst>
            </c:dLbl>
            <c:dLbl>
              <c:idx val="1"/>
              <c:layout>
                <c:manualLayout>
                  <c:x val="3.0555555555555555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EB5-4932-9C1F-96737D7FC255}"/>
                </c:ext>
              </c:extLst>
            </c:dLbl>
            <c:dLbl>
              <c:idx val="2"/>
              <c:layout>
                <c:manualLayout>
                  <c:x val="-2.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EB5-4932-9C1F-96737D7FC255}"/>
                </c:ext>
              </c:extLst>
            </c:dLbl>
            <c:dLbl>
              <c:idx val="3"/>
              <c:layout>
                <c:manualLayout>
                  <c:x val="3.6111111111111108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9EB5-4932-9C1F-96737D7FC2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CompanyTypeImpact!$A$4:$A$8</c:f>
              <c:strCache>
                <c:ptCount val="4"/>
                <c:pt idx="0">
                  <c:v>Consultancy</c:v>
                </c:pt>
                <c:pt idx="1">
                  <c:v>Government</c:v>
                </c:pt>
                <c:pt idx="2">
                  <c:v>MNC</c:v>
                </c:pt>
                <c:pt idx="3">
                  <c:v>Startup</c:v>
                </c:pt>
              </c:strCache>
            </c:strRef>
          </c:cat>
          <c:val>
            <c:numRef>
              <c:f>CompanyTypeImpact!$B$4:$B$8</c:f>
              <c:numCache>
                <c:formatCode>"₹"\ #,##0.00</c:formatCode>
                <c:ptCount val="4"/>
                <c:pt idx="0">
                  <c:v>2221504.6536964979</c:v>
                </c:pt>
                <c:pt idx="1">
                  <c:v>2401585.5836734693</c:v>
                </c:pt>
                <c:pt idx="2">
                  <c:v>2484765.4297188753</c:v>
                </c:pt>
                <c:pt idx="3">
                  <c:v>2447066.6787148593</c:v>
                </c:pt>
              </c:numCache>
            </c:numRef>
          </c:val>
          <c:extLst>
            <c:ext xmlns:c16="http://schemas.microsoft.com/office/drawing/2014/chart" uri="{C3380CC4-5D6E-409C-BE32-E72D297353CC}">
              <c16:uniqueId val="{00000008-9EB5-4932-9C1F-96737D7FC25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[Tech­_Salary_Dashboard_India_2025.xlsx]Headcount Distribution!PivotTable7</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38888888888889"/>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0925337632079971E-17"/>
              <c:y val="0.180555555555555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0925337632079971E-17"/>
              <c:y val="0.180555555555555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38888888888889"/>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0925337632079971E-17"/>
              <c:y val="0.180555555555555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138888888888889"/>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5.0925337632079971E-17"/>
              <c:y val="0.180555555555555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138888888888889"/>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4592601584307913"/>
              <c:y val="-0.107489962977974"/>
            </c:manualLayout>
          </c:layout>
          <c:spPr>
            <a:solidFill>
              <a:sysClr val="window" lastClr="FFFFFF"/>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43390774140778"/>
                  <c:h val="9.0059667801378737E-2"/>
                </c:manualLayout>
              </c15:layout>
            </c:ext>
          </c:extLst>
        </c:dLbl>
      </c:pivotFmt>
      <c:pivotFmt>
        <c:idx val="18"/>
        <c:spPr>
          <a:solidFill>
            <a:schemeClr val="accent1"/>
          </a:solidFill>
          <a:ln w="19050">
            <a:solidFill>
              <a:schemeClr val="lt1"/>
            </a:solidFill>
          </a:ln>
          <a:effectLst/>
        </c:spPr>
        <c:dLbl>
          <c:idx val="0"/>
          <c:layout>
            <c:manualLayout>
              <c:x val="2.1185184690925979E-2"/>
              <c:y val="0.14881782146187023"/>
            </c:manualLayout>
          </c:layout>
          <c:spPr>
            <a:solidFill>
              <a:sysClr val="window" lastClr="FFFFFF"/>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93469317154404"/>
                  <c:h val="9.5830160319730712E-2"/>
                </c:manualLayout>
              </c15:layout>
            </c:ext>
          </c:extLst>
        </c:dLbl>
      </c:pivotFmt>
      <c:pivotFmt>
        <c:idx val="19"/>
        <c:spPr>
          <a:solidFill>
            <a:schemeClr val="accent1"/>
          </a:solidFill>
          <a:ln w="19050">
            <a:solidFill>
              <a:schemeClr val="lt1"/>
            </a:solidFill>
          </a:ln>
          <a:effectLst/>
        </c:spPr>
        <c:dLbl>
          <c:idx val="0"/>
          <c:layout>
            <c:manualLayout>
              <c:x val="-0.12692581797781702"/>
              <c:y val="-0.13526784172674947"/>
            </c:manualLayout>
          </c:layout>
          <c:spPr>
            <a:solidFill>
              <a:sysClr val="window" lastClr="FFFFFF"/>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42037411676001"/>
          <c:y val="0.15239370934528992"/>
          <c:w val="0.71485177684801915"/>
          <c:h val="0.63281969891660139"/>
        </c:manualLayout>
      </c:layout>
      <c:doughnutChart>
        <c:varyColors val="1"/>
        <c:ser>
          <c:idx val="0"/>
          <c:order val="0"/>
          <c:tx>
            <c:strRef>
              <c:f>'Headcount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42-421D-9A33-EDDA33BE8C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42-421D-9A33-EDDA33BE8C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42-421D-9A33-EDDA33BE8C97}"/>
              </c:ext>
            </c:extLst>
          </c:dPt>
          <c:dLbls>
            <c:dLbl>
              <c:idx val="0"/>
              <c:layout>
                <c:manualLayout>
                  <c:x val="0.14592601584307913"/>
                  <c:y val="-0.107489962977974"/>
                </c:manualLayout>
              </c:layout>
              <c:showLegendKey val="0"/>
              <c:showVal val="0"/>
              <c:showCatName val="1"/>
              <c:showSerName val="0"/>
              <c:showPercent val="1"/>
              <c:showBubbleSize val="0"/>
              <c:extLst>
                <c:ext xmlns:c15="http://schemas.microsoft.com/office/drawing/2012/chart" uri="{CE6537A1-D6FC-4f65-9D91-7224C49458BB}">
                  <c15:layout>
                    <c:manualLayout>
                      <c:w val="0.12943390774140778"/>
                      <c:h val="9.0059667801378737E-2"/>
                    </c:manualLayout>
                  </c15:layout>
                </c:ext>
                <c:ext xmlns:c16="http://schemas.microsoft.com/office/drawing/2014/chart" uri="{C3380CC4-5D6E-409C-BE32-E72D297353CC}">
                  <c16:uniqueId val="{00000001-5242-421D-9A33-EDDA33BE8C97}"/>
                </c:ext>
              </c:extLst>
            </c:dLbl>
            <c:dLbl>
              <c:idx val="1"/>
              <c:layout>
                <c:manualLayout>
                  <c:x val="2.1185184690925979E-2"/>
                  <c:y val="0.14881782146187023"/>
                </c:manualLayout>
              </c:layout>
              <c:showLegendKey val="0"/>
              <c:showVal val="0"/>
              <c:showCatName val="1"/>
              <c:showSerName val="0"/>
              <c:showPercent val="1"/>
              <c:showBubbleSize val="0"/>
              <c:extLst>
                <c:ext xmlns:c15="http://schemas.microsoft.com/office/drawing/2012/chart" uri="{CE6537A1-D6FC-4f65-9D91-7224C49458BB}">
                  <c15:layout>
                    <c:manualLayout>
                      <c:w val="0.21393469317154404"/>
                      <c:h val="9.5830160319730712E-2"/>
                    </c:manualLayout>
                  </c15:layout>
                </c:ext>
                <c:ext xmlns:c16="http://schemas.microsoft.com/office/drawing/2014/chart" uri="{C3380CC4-5D6E-409C-BE32-E72D297353CC}">
                  <c16:uniqueId val="{00000003-5242-421D-9A33-EDDA33BE8C97}"/>
                </c:ext>
              </c:extLst>
            </c:dLbl>
            <c:dLbl>
              <c:idx val="2"/>
              <c:layout>
                <c:manualLayout>
                  <c:x val="-0.12692581797781702"/>
                  <c:y val="-0.1352678417267494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42-421D-9A33-EDDA33BE8C97}"/>
                </c:ext>
              </c:extLst>
            </c:dLbl>
            <c:spPr>
              <a:solidFill>
                <a:sysClr val="window" lastClr="FFFFFF"/>
              </a:solidFill>
              <a:ln>
                <a:solidFill>
                  <a:sysClr val="window" lastClr="FFFFFF">
                    <a:lumMod val="6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'Headcount Distribution'!$A$4:$A$7</c:f>
              <c:strCache>
                <c:ptCount val="3"/>
                <c:pt idx="0">
                  <c:v>AI/ML</c:v>
                </c:pt>
                <c:pt idx="1">
                  <c:v>Data Analyst</c:v>
                </c:pt>
                <c:pt idx="2">
                  <c:v>Data Scientist</c:v>
                </c:pt>
              </c:strCache>
            </c:strRef>
          </c:cat>
          <c:val>
            <c:numRef>
              <c:f>'Headcount Distribution'!$B$4:$B$7</c:f>
              <c:numCache>
                <c:formatCode>General</c:formatCode>
                <c:ptCount val="3"/>
                <c:pt idx="0">
                  <c:v>313</c:v>
                </c:pt>
                <c:pt idx="1">
                  <c:v>348</c:v>
                </c:pt>
                <c:pt idx="2">
                  <c:v>339</c:v>
                </c:pt>
              </c:numCache>
            </c:numRef>
          </c:val>
          <c:extLst>
            <c:ext xmlns:c16="http://schemas.microsoft.com/office/drawing/2014/chart" uri="{C3380CC4-5D6E-409C-BE32-E72D297353CC}">
              <c16:uniqueId val="{00000006-5242-421D-9A33-EDDA33BE8C9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[Tech­_Salary_Dashboard_India_2025.xlsx]Sheet10!PivotTable8</c:name>
    <c:fmtId val="2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18618614843444"/>
          <c:y val="5.2724229974921107E-2"/>
          <c:w val="0.75453674540682414"/>
          <c:h val="0.8416746864975212"/>
        </c:manualLayout>
      </c:layout>
      <c:bar3DChart>
        <c:barDir val="col"/>
        <c:grouping val="standard"/>
        <c:varyColors val="0"/>
        <c:ser>
          <c:idx val="0"/>
          <c:order val="0"/>
          <c:tx>
            <c:strRef>
              <c:f>Sheet10!$H$4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Sheet10!$G$5:$G$8</c:f>
              <c:strCache>
                <c:ptCount val="3"/>
                <c:pt idx="0">
                  <c:v>AI/ML</c:v>
                </c:pt>
                <c:pt idx="1">
                  <c:v>Data Analyst</c:v>
                </c:pt>
                <c:pt idx="2">
                  <c:v>Data Scientist</c:v>
                </c:pt>
              </c:strCache>
            </c:strRef>
          </c:cat>
          <c:val>
            <c:numRef>
              <c:f>Sheet10!$H$5:$H$8</c:f>
              <c:numCache>
                <c:formatCode>"₹"\ #,##0.00</c:formatCode>
                <c:ptCount val="3"/>
                <c:pt idx="0">
                  <c:v>2962988.6900958465</c:v>
                </c:pt>
                <c:pt idx="1">
                  <c:v>1940276.867816092</c:v>
                </c:pt>
                <c:pt idx="2">
                  <c:v>2314777.4306784659</c:v>
                </c:pt>
              </c:numCache>
            </c:numRef>
          </c:val>
          <c:extLst>
            <c:ext xmlns:c16="http://schemas.microsoft.com/office/drawing/2014/chart" uri="{C3380CC4-5D6E-409C-BE32-E72D297353CC}">
              <c16:uniqueId val="{00000000-8814-4D6C-AB99-69C18F794D46}"/>
            </c:ext>
          </c:extLst>
        </c:ser>
        <c:dLbls>
          <c:showLegendKey val="0"/>
          <c:showVal val="0"/>
          <c:showCatName val="0"/>
          <c:showSerName val="0"/>
          <c:showPercent val="0"/>
          <c:showBubbleSize val="0"/>
        </c:dLbls>
        <c:gapWidth val="150"/>
        <c:shape val="box"/>
        <c:axId val="202824127"/>
        <c:axId val="202827007"/>
        <c:axId val="443593599"/>
      </c:bar3DChart>
      <c:catAx>
        <c:axId val="202824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7007"/>
        <c:crosses val="autoZero"/>
        <c:auto val="1"/>
        <c:lblAlgn val="ctr"/>
        <c:lblOffset val="100"/>
        <c:noMultiLvlLbl val="0"/>
      </c:catAx>
      <c:valAx>
        <c:axId val="202827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4127"/>
        <c:crosses val="autoZero"/>
        <c:crossBetween val="between"/>
      </c:valAx>
      <c:serAx>
        <c:axId val="443593599"/>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70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[Tech­_Salary_Dashboard_India_2025.xlsx]Salary Comparison by role!PivotTable1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Salary by Generic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Comparison by role'!$B$3</c:f>
              <c:strCache>
                <c:ptCount val="1"/>
                <c:pt idx="0">
                  <c:v>Total</c:v>
                </c:pt>
              </c:strCache>
            </c:strRef>
          </c:tx>
          <c:spPr>
            <a:solidFill>
              <a:schemeClr val="accent1"/>
            </a:solidFill>
            <a:ln>
              <a:noFill/>
            </a:ln>
            <a:effectLst/>
          </c:spPr>
          <c:invertIfNegative val="0"/>
          <c:cat>
            <c:strRef>
              <c:f>'Salary Comparison by role'!$A$4:$A$7</c:f>
              <c:strCache>
                <c:ptCount val="3"/>
                <c:pt idx="0">
                  <c:v>AI/ML</c:v>
                </c:pt>
                <c:pt idx="1">
                  <c:v>Data Analyst</c:v>
                </c:pt>
                <c:pt idx="2">
                  <c:v>Data Scientist</c:v>
                </c:pt>
              </c:strCache>
            </c:strRef>
          </c:cat>
          <c:val>
            <c:numRef>
              <c:f>'Salary Comparison by role'!$B$4:$B$7</c:f>
              <c:numCache>
                <c:formatCode>General</c:formatCode>
                <c:ptCount val="3"/>
                <c:pt idx="0">
                  <c:v>2962988.6900958465</c:v>
                </c:pt>
                <c:pt idx="1">
                  <c:v>1940276.867816092</c:v>
                </c:pt>
                <c:pt idx="2">
                  <c:v>2314777.4306784659</c:v>
                </c:pt>
              </c:numCache>
            </c:numRef>
          </c:val>
          <c:extLst>
            <c:ext xmlns:c16="http://schemas.microsoft.com/office/drawing/2014/chart" uri="{C3380CC4-5D6E-409C-BE32-E72D297353CC}">
              <c16:uniqueId val="{00000000-8407-4257-9074-A79250C13433}"/>
            </c:ext>
          </c:extLst>
        </c:ser>
        <c:dLbls>
          <c:showLegendKey val="0"/>
          <c:showVal val="0"/>
          <c:showCatName val="0"/>
          <c:showSerName val="0"/>
          <c:showPercent val="0"/>
          <c:showBubbleSize val="0"/>
        </c:dLbls>
        <c:gapWidth val="219"/>
        <c:overlap val="-27"/>
        <c:axId val="1390908879"/>
        <c:axId val="1390910799"/>
      </c:barChart>
      <c:catAx>
        <c:axId val="139090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10799"/>
        <c:crosses val="autoZero"/>
        <c:auto val="1"/>
        <c:lblAlgn val="ctr"/>
        <c:lblOffset val="100"/>
        <c:noMultiLvlLbl val="0"/>
      </c:catAx>
      <c:valAx>
        <c:axId val="1390910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0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[Tech­_Salary_Dashboard_India_2025.xlsx]SalaryGrowthCurv!PivotTable1</c:name>
    <c:fmtId val="14"/>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SalaryGrowthCurv!$B$3:$B$4</c:f>
              <c:strCache>
                <c:ptCount val="1"/>
                <c:pt idx="0">
                  <c:v>AI/ML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SalaryGrowthCurv!$A$5:$A$7</c:f>
              <c:strCache>
                <c:ptCount val="3"/>
                <c:pt idx="0">
                  <c:v>Entry-Level</c:v>
                </c:pt>
                <c:pt idx="1">
                  <c:v>Mid-Level</c:v>
                </c:pt>
                <c:pt idx="2">
                  <c:v>Senior-Level</c:v>
                </c:pt>
              </c:strCache>
            </c:strRef>
          </c:cat>
          <c:val>
            <c:numRef>
              <c:f>SalaryGrowthCurv!$B$5:$B$7</c:f>
              <c:numCache>
                <c:formatCode>"₹"\ #,##0.00</c:formatCode>
                <c:ptCount val="3"/>
                <c:pt idx="0">
                  <c:v>1109968.2038834952</c:v>
                </c:pt>
                <c:pt idx="1">
                  <c:v>2333037.8571428573</c:v>
                </c:pt>
                <c:pt idx="2">
                  <c:v>5048590.6722689075</c:v>
                </c:pt>
              </c:numCache>
            </c:numRef>
          </c:val>
          <c:smooth val="0"/>
          <c:extLst>
            <c:ext xmlns:c16="http://schemas.microsoft.com/office/drawing/2014/chart" uri="{C3380CC4-5D6E-409C-BE32-E72D297353CC}">
              <c16:uniqueId val="{00000000-43CF-474C-8F5D-D731B0B0DF1B}"/>
            </c:ext>
          </c:extLst>
        </c:ser>
        <c:ser>
          <c:idx val="1"/>
          <c:order val="1"/>
          <c:tx>
            <c:strRef>
              <c:f>SalaryGrowthCurv!$C$3:$C$4</c:f>
              <c:strCache>
                <c:ptCount val="1"/>
                <c:pt idx="0">
                  <c:v>Data Analyst</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SalaryGrowthCurv!$A$5:$A$7</c:f>
              <c:strCache>
                <c:ptCount val="3"/>
                <c:pt idx="0">
                  <c:v>Entry-Level</c:v>
                </c:pt>
                <c:pt idx="1">
                  <c:v>Mid-Level</c:v>
                </c:pt>
                <c:pt idx="2">
                  <c:v>Senior-Level</c:v>
                </c:pt>
              </c:strCache>
            </c:strRef>
          </c:cat>
          <c:val>
            <c:numRef>
              <c:f>SalaryGrowthCurv!$C$5:$C$7</c:f>
              <c:numCache>
                <c:formatCode>"₹"\ #,##0.00</c:formatCode>
                <c:ptCount val="3"/>
                <c:pt idx="0">
                  <c:v>735634.85436893208</c:v>
                </c:pt>
                <c:pt idx="1">
                  <c:v>1558787.05</c:v>
                </c:pt>
                <c:pt idx="2">
                  <c:v>3299132.1120000002</c:v>
                </c:pt>
              </c:numCache>
            </c:numRef>
          </c:val>
          <c:smooth val="0"/>
          <c:extLst>
            <c:ext xmlns:c16="http://schemas.microsoft.com/office/drawing/2014/chart" uri="{C3380CC4-5D6E-409C-BE32-E72D297353CC}">
              <c16:uniqueId val="{00000003-CE6A-4150-B3DF-8DD3FF299E7A}"/>
            </c:ext>
          </c:extLst>
        </c:ser>
        <c:ser>
          <c:idx val="2"/>
          <c:order val="2"/>
          <c:tx>
            <c:strRef>
              <c:f>SalaryGrowthCurv!$D$3:$D$4</c:f>
              <c:strCache>
                <c:ptCount val="1"/>
                <c:pt idx="0">
                  <c:v>Data Scientist</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SalaryGrowthCurv!$A$5:$A$7</c:f>
              <c:strCache>
                <c:ptCount val="3"/>
                <c:pt idx="0">
                  <c:v>Entry-Level</c:v>
                </c:pt>
                <c:pt idx="1">
                  <c:v>Mid-Level</c:v>
                </c:pt>
                <c:pt idx="2">
                  <c:v>Senior-Level</c:v>
                </c:pt>
              </c:strCache>
            </c:strRef>
          </c:cat>
          <c:val>
            <c:numRef>
              <c:f>SalaryGrowthCurv!$D$5:$D$7</c:f>
              <c:numCache>
                <c:formatCode>"₹"\ #,##0.00</c:formatCode>
                <c:ptCount val="3"/>
                <c:pt idx="0">
                  <c:v>816502.33644859819</c:v>
                </c:pt>
                <c:pt idx="1">
                  <c:v>1845299.7456140351</c:v>
                </c:pt>
                <c:pt idx="2">
                  <c:v>4126946</c:v>
                </c:pt>
              </c:numCache>
            </c:numRef>
          </c:val>
          <c:smooth val="0"/>
          <c:extLst>
            <c:ext xmlns:c16="http://schemas.microsoft.com/office/drawing/2014/chart" uri="{C3380CC4-5D6E-409C-BE32-E72D297353CC}">
              <c16:uniqueId val="{00000004-CE6A-4150-B3DF-8DD3FF299E7A}"/>
            </c:ext>
          </c:extLst>
        </c:ser>
        <c:dLbls>
          <c:showLegendKey val="0"/>
          <c:showVal val="0"/>
          <c:showCatName val="0"/>
          <c:showSerName val="0"/>
          <c:showPercent val="0"/>
          <c:showBubbleSize val="0"/>
        </c:dLbls>
        <c:marker val="1"/>
        <c:smooth val="0"/>
        <c:axId val="251812447"/>
        <c:axId val="251822527"/>
      </c:lineChart>
      <c:catAx>
        <c:axId val="251812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22527"/>
        <c:crosses val="autoZero"/>
        <c:auto val="1"/>
        <c:lblAlgn val="ctr"/>
        <c:lblOffset val="100"/>
        <c:noMultiLvlLbl val="0"/>
      </c:catAx>
      <c:valAx>
        <c:axId val="251822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12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[Tech­_Salary_Dashboard_India_2025.xlsx]city vs Avg salary!PivotTable2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City vs Average Salary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vs Avg salary'!$C$3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vs Avg salary'!$B$4:$B$13</c:f>
              <c:strCache>
                <c:ptCount val="9"/>
                <c:pt idx="0">
                  <c:v>Bangalore</c:v>
                </c:pt>
                <c:pt idx="1">
                  <c:v>Chennai</c:v>
                </c:pt>
                <c:pt idx="2">
                  <c:v>Delhi</c:v>
                </c:pt>
                <c:pt idx="3">
                  <c:v>Gurgaon</c:v>
                </c:pt>
                <c:pt idx="4">
                  <c:v>Hyderabad</c:v>
                </c:pt>
                <c:pt idx="5">
                  <c:v>Kolkata</c:v>
                </c:pt>
                <c:pt idx="6">
                  <c:v>Mumbai</c:v>
                </c:pt>
                <c:pt idx="7">
                  <c:v>Noida</c:v>
                </c:pt>
                <c:pt idx="8">
                  <c:v>Pune</c:v>
                </c:pt>
              </c:strCache>
            </c:strRef>
          </c:cat>
          <c:val>
            <c:numRef>
              <c:f>'city vs Avg salary'!$C$4:$C$13</c:f>
              <c:numCache>
                <c:formatCode>"₹"\ #,##0.00</c:formatCode>
                <c:ptCount val="9"/>
                <c:pt idx="0">
                  <c:v>2478993.3465346536</c:v>
                </c:pt>
                <c:pt idx="1">
                  <c:v>2341830.2636363637</c:v>
                </c:pt>
                <c:pt idx="2">
                  <c:v>2488222.6637931033</c:v>
                </c:pt>
                <c:pt idx="3">
                  <c:v>2298943</c:v>
                </c:pt>
                <c:pt idx="4">
                  <c:v>2102121.0865384615</c:v>
                </c:pt>
                <c:pt idx="5">
                  <c:v>2645543.4215686275</c:v>
                </c:pt>
                <c:pt idx="6">
                  <c:v>2428841.3980582524</c:v>
                </c:pt>
                <c:pt idx="7">
                  <c:v>2499804.8360655736</c:v>
                </c:pt>
                <c:pt idx="8">
                  <c:v>2224513.8951612902</c:v>
                </c:pt>
              </c:numCache>
            </c:numRef>
          </c:val>
          <c:extLst>
            <c:ext xmlns:c16="http://schemas.microsoft.com/office/drawing/2014/chart" uri="{C3380CC4-5D6E-409C-BE32-E72D297353CC}">
              <c16:uniqueId val="{00000000-0B73-4429-8E07-39613B522D5E}"/>
            </c:ext>
          </c:extLst>
        </c:ser>
        <c:dLbls>
          <c:dLblPos val="outEnd"/>
          <c:showLegendKey val="0"/>
          <c:showVal val="1"/>
          <c:showCatName val="0"/>
          <c:showSerName val="0"/>
          <c:showPercent val="0"/>
          <c:showBubbleSize val="0"/>
        </c:dLbls>
        <c:gapWidth val="444"/>
        <c:overlap val="-90"/>
        <c:axId val="175455551"/>
        <c:axId val="175456031"/>
      </c:barChart>
      <c:catAx>
        <c:axId val="17545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456031"/>
        <c:crosses val="autoZero"/>
        <c:auto val="1"/>
        <c:lblAlgn val="ctr"/>
        <c:lblOffset val="100"/>
        <c:noMultiLvlLbl val="0"/>
      </c:catAx>
      <c:valAx>
        <c:axId val="175456031"/>
        <c:scaling>
          <c:orientation val="minMax"/>
        </c:scaling>
        <c:delete val="1"/>
        <c:axPos val="l"/>
        <c:numFmt formatCode="&quot;₹&quot;\ #,##0" sourceLinked="0"/>
        <c:majorTickMark val="none"/>
        <c:minorTickMark val="none"/>
        <c:tickLblPos val="nextTo"/>
        <c:crossAx val="17545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[Tech­_Salary_Dashboard_India_2025.xlsx]male vs female salary!PivotTable3</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Male vs Female Salary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'male vs female salary'!$B$3:$B$4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'male vs female salary'!$A$5:$A$8</c:f>
              <c:strCache>
                <c:ptCount val="3"/>
                <c:pt idx="0">
                  <c:v>AI/ML</c:v>
                </c:pt>
                <c:pt idx="1">
                  <c:v>Data Analyst</c:v>
                </c:pt>
                <c:pt idx="2">
                  <c:v>Data Scientist</c:v>
                </c:pt>
              </c:strCache>
            </c:strRef>
          </c:cat>
          <c:val>
            <c:numRef>
              <c:f>'male vs female salary'!$B$5:$B$8</c:f>
              <c:numCache>
                <c:formatCode>"₹"\ #,##0.00</c:formatCode>
                <c:ptCount val="3"/>
                <c:pt idx="0">
                  <c:v>3007789.0060975607</c:v>
                </c:pt>
                <c:pt idx="1">
                  <c:v>1931032.448979592</c:v>
                </c:pt>
                <c:pt idx="2">
                  <c:v>2183615.4153005467</c:v>
                </c:pt>
              </c:numCache>
            </c:numRef>
          </c:val>
          <c:extLst>
            <c:ext xmlns:c16="http://schemas.microsoft.com/office/drawing/2014/chart" uri="{C3380CC4-5D6E-409C-BE32-E72D297353CC}">
              <c16:uniqueId val="{00000000-2301-448C-AF9B-C858B11D70FA}"/>
            </c:ext>
          </c:extLst>
        </c:ser>
        <c:ser>
          <c:idx val="1"/>
          <c:order val="1"/>
          <c:tx>
            <c:strRef>
              <c:f>'male vs female salary'!$C$3:$C$4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'male vs female salary'!$A$5:$A$8</c:f>
              <c:strCache>
                <c:ptCount val="3"/>
                <c:pt idx="0">
                  <c:v>AI/ML</c:v>
                </c:pt>
                <c:pt idx="1">
                  <c:v>Data Analyst</c:v>
                </c:pt>
                <c:pt idx="2">
                  <c:v>Data Scientist</c:v>
                </c:pt>
              </c:strCache>
            </c:strRef>
          </c:cat>
          <c:val>
            <c:numRef>
              <c:f>'male vs female salary'!$C$5:$C$8</c:f>
              <c:numCache>
                <c:formatCode>"₹"\ #,##0.00</c:formatCode>
                <c:ptCount val="3"/>
                <c:pt idx="0">
                  <c:v>2913678.2751677851</c:v>
                </c:pt>
                <c:pt idx="1">
                  <c:v>1952197.3026315789</c:v>
                </c:pt>
                <c:pt idx="2">
                  <c:v>2468640.564102564</c:v>
                </c:pt>
              </c:numCache>
            </c:numRef>
          </c:val>
          <c:extLst>
            <c:ext xmlns:c16="http://schemas.microsoft.com/office/drawing/2014/chart" uri="{C3380CC4-5D6E-409C-BE32-E72D297353CC}">
              <c16:uniqueId val="{00000000-FE01-48CF-9465-B4833E1839B5}"/>
            </c:ext>
          </c:extLst>
        </c:ser>
        <c:dLbls>
          <c:showLegendKey val="0"/>
          <c:showVal val="0"/>
          <c:showCatName val="0"/>
          <c:showSerName val="0"/>
          <c:showPercent val="0"/>
          <c:showBubbleSize val="0"/>
        </c:dLbls>
        <c:gapWidth val="150"/>
        <c:shape val="box"/>
        <c:axId val="289474319"/>
        <c:axId val="289483919"/>
        <c:axId val="0"/>
      </c:bar3DChart>
      <c:catAx>
        <c:axId val="289474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83919"/>
        <c:crosses val="autoZero"/>
        <c:auto val="1"/>
        <c:lblAlgn val="ctr"/>
        <c:lblOffset val="100"/>
        <c:noMultiLvlLbl val="0"/>
      </c:catAx>
      <c:valAx>
        <c:axId val="289483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7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[Tech­_Salary_Dashboard_India_2025.xlsx]CompanyTypeImpact!PivotTable5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 Type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3.0555555555555555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2.777777777777777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3.6111111111111108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CompanyTypeImpact!$B$3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8-1F10-40E4-9B0A-384A445F45C2}"/>
              </c:ext>
            </c:extLst>
          </c:dPt>
          <c:dPt>
            <c:idx val="1"/>
            <c:bubble3D val="0"/>
            <c:spPr>
              <a:solidFill>
                <a:schemeClr val="accent3"/>
              </a:solidFill>
              <a:ln>
                <a:noFill/>
              </a:ln>
              <a:effectLst/>
            </c:spPr>
            <c:extLst>
              <c:ext xmlns:c16="http://schemas.microsoft.com/office/drawing/2014/chart" uri="{C3380CC4-5D6E-409C-BE32-E72D297353CC}">
                <c16:uniqueId val="{00000007-1F10-40E4-9B0A-384A445F45C2}"/>
              </c:ext>
            </c:extLst>
          </c:dPt>
          <c:dPt>
            <c:idx val="2"/>
            <c:bubble3D val="0"/>
            <c:explosion val="1"/>
            <c:spPr>
              <a:solidFill>
                <a:schemeClr val="accent5"/>
              </a:solidFill>
              <a:ln>
                <a:noFill/>
              </a:ln>
              <a:effectLst/>
            </c:spPr>
            <c:extLst>
              <c:ext xmlns:c16="http://schemas.microsoft.com/office/drawing/2014/chart" uri="{C3380CC4-5D6E-409C-BE32-E72D297353CC}">
                <c16:uniqueId val="{00000006-1F10-40E4-9B0A-384A445F45C2}"/>
              </c:ext>
            </c:extLst>
          </c:dPt>
          <c:dPt>
            <c:idx val="3"/>
            <c:bubble3D val="0"/>
            <c:explosion val="1"/>
            <c:spPr>
              <a:solidFill>
                <a:schemeClr val="accent1">
                  <a:lumMod val="60000"/>
                </a:schemeClr>
              </a:solidFill>
              <a:ln>
                <a:noFill/>
              </a:ln>
              <a:effectLst/>
            </c:spPr>
            <c:extLst>
              <c:ext xmlns:c16="http://schemas.microsoft.com/office/drawing/2014/chart" uri="{C3380CC4-5D6E-409C-BE32-E72D297353CC}">
                <c16:uniqueId val="{00000009-1F10-40E4-9B0A-384A445F45C2}"/>
              </c:ext>
            </c:extLst>
          </c:dPt>
          <c:dLbls>
            <c:dLbl>
              <c:idx val="0"/>
              <c:layout>
                <c:manualLayout>
                  <c:x val="-2.777777777777777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1F10-40E4-9B0A-384A445F45C2}"/>
                </c:ext>
              </c:extLst>
            </c:dLbl>
            <c:dLbl>
              <c:idx val="1"/>
              <c:layout>
                <c:manualLayout>
                  <c:x val="3.0555555555555555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1F10-40E4-9B0A-384A445F45C2}"/>
                </c:ext>
              </c:extLst>
            </c:dLbl>
            <c:dLbl>
              <c:idx val="2"/>
              <c:layout>
                <c:manualLayout>
                  <c:x val="-2.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1F10-40E4-9B0A-384A445F45C2}"/>
                </c:ext>
              </c:extLst>
            </c:dLbl>
            <c:dLbl>
              <c:idx val="3"/>
              <c:layout>
                <c:manualLayout>
                  <c:x val="3.6111111111111108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1F10-40E4-9B0A-384A445F45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CompanyTypeImpact!$A$4:$A$8</c:f>
              <c:strCache>
                <c:ptCount val="4"/>
                <c:pt idx="0">
                  <c:v>Consultancy</c:v>
                </c:pt>
                <c:pt idx="1">
                  <c:v>Government</c:v>
                </c:pt>
                <c:pt idx="2">
                  <c:v>MNC</c:v>
                </c:pt>
                <c:pt idx="3">
                  <c:v>Startup</c:v>
                </c:pt>
              </c:strCache>
            </c:strRef>
          </c:cat>
          <c:val>
            <c:numRef>
              <c:f>CompanyTypeImpact!$B$4:$B$8</c:f>
              <c:numCache>
                <c:formatCode>"₹"\ #,##0.00</c:formatCode>
                <c:ptCount val="4"/>
                <c:pt idx="0">
                  <c:v>2221504.6536964979</c:v>
                </c:pt>
                <c:pt idx="1">
                  <c:v>2401585.5836734693</c:v>
                </c:pt>
                <c:pt idx="2">
                  <c:v>2484765.4297188753</c:v>
                </c:pt>
                <c:pt idx="3">
                  <c:v>2447066.6787148593</c:v>
                </c:pt>
              </c:numCache>
            </c:numRef>
          </c:val>
          <c:extLst>
            <c:ext xmlns:c16="http://schemas.microsoft.com/office/drawing/2014/chart" uri="{C3380CC4-5D6E-409C-BE32-E72D297353CC}">
              <c16:uniqueId val="{00000000-1F10-40E4-9B0A-384A445F45C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[Tech­_Salary_Dashboard_India_2025.xlsx]Average Salary by Education!PivotTable6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Salary by Education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'Average Salary by Education'!$B$3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'Average Salary by Education'!$A$4:$A$11</c:f>
              <c:strCache>
                <c:ptCount val="7"/>
                <c:pt idx="0">
                  <c:v>B.Sc</c:v>
                </c:pt>
                <c:pt idx="1">
                  <c:v>B.Tech</c:v>
                </c:pt>
                <c:pt idx="2">
                  <c:v>BCA</c:v>
                </c:pt>
                <c:pt idx="3">
                  <c:v>M.Sc</c:v>
                </c:pt>
                <c:pt idx="4">
                  <c:v>M.Tech</c:v>
                </c:pt>
                <c:pt idx="5">
                  <c:v>MCA</c:v>
                </c:pt>
                <c:pt idx="6">
                  <c:v>PhD</c:v>
                </c:pt>
              </c:strCache>
            </c:strRef>
          </c:cat>
          <c:val>
            <c:numRef>
              <c:f>'Average Salary by Education'!$B$4:$B$11</c:f>
              <c:numCache>
                <c:formatCode>"₹"\ #,##0.00</c:formatCode>
                <c:ptCount val="7"/>
                <c:pt idx="0">
                  <c:v>2259154.2878787881</c:v>
                </c:pt>
                <c:pt idx="1">
                  <c:v>2323065.4834437086</c:v>
                </c:pt>
                <c:pt idx="2">
                  <c:v>2530877.418181818</c:v>
                </c:pt>
                <c:pt idx="3">
                  <c:v>2365171.6834532376</c:v>
                </c:pt>
                <c:pt idx="4">
                  <c:v>2256752.6338028167</c:v>
                </c:pt>
                <c:pt idx="5">
                  <c:v>2510110.6911764704</c:v>
                </c:pt>
                <c:pt idx="6">
                  <c:v>2445648.4370370372</c:v>
                </c:pt>
              </c:numCache>
            </c:numRef>
          </c:val>
          <c:extLst>
            <c:ext xmlns:c16="http://schemas.microsoft.com/office/drawing/2014/chart" uri="{C3380CC4-5D6E-409C-BE32-E72D297353CC}">
              <c16:uniqueId val="{00000000-716C-4C83-8ABC-DB2583B959C6}"/>
            </c:ext>
          </c:extLst>
        </c:ser>
        <c:dLbls>
          <c:showLegendKey val="0"/>
          <c:showVal val="0"/>
          <c:showCatName val="0"/>
          <c:showSerName val="0"/>
          <c:showPercent val="0"/>
          <c:showBubbleSize val="0"/>
        </c:dLbls>
        <c:gapWidth val="150"/>
        <c:shape val="box"/>
        <c:axId val="458184255"/>
        <c:axId val="458184735"/>
        <c:axId val="0"/>
      </c:bar3DChart>
      <c:catAx>
        <c:axId val="458184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84735"/>
        <c:crosses val="autoZero"/>
        <c:auto val="1"/>
        <c:lblAlgn val="ctr"/>
        <c:lblOffset val="100"/>
        <c:noMultiLvlLbl val="0"/>
      </c:catAx>
      <c:valAx>
        <c:axId val="458184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8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[Tech­_Salary_Dashboard_India_2025.xlsx]Headcount Distribution!PivotTable7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722222222222212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38888888888889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5"/>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52586680878304792"/>
          <c:y val="0.2358107319918343"/>
          <c:w val="0.40047572178477692"/>
          <c:h val="0.66745953630796151"/>
        </c:manualLayout>
      </c:layout>
      <c:doughnutChart>
        <c:varyColors val="1"/>
        <c:ser>
          <c:idx val="0"/>
          <c:order val="0"/>
          <c:tx>
            <c:strRef>
              <c:f>'Headcount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D13-4261-A37C-BE44EA32CA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13-4261-A37C-BE44EA32CA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D13-4261-A37C-BE44EA32CA6F}"/>
              </c:ext>
            </c:extLst>
          </c:dPt>
          <c:dLbls>
            <c:dLbl>
              <c:idx val="0"/>
              <c:layout>
                <c:manualLayout>
                  <c:x val="9.722222222222212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13-4261-A37C-BE44EA32CA6F}"/>
                </c:ext>
              </c:extLst>
            </c:dLbl>
            <c:dLbl>
              <c:idx val="1"/>
              <c:layout>
                <c:manualLayout>
                  <c:x val="-1.388888888888894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13-4261-A37C-BE44EA32CA6F}"/>
                </c:ext>
              </c:extLst>
            </c:dLbl>
            <c:dLbl>
              <c:idx val="2"/>
              <c:layout>
                <c:manualLayout>
                  <c:x val="-0.125"/>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13-4261-A37C-BE44EA32CA6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'Headcount Distribution'!$A$4:$A$7</c:f>
              <c:strCache>
                <c:ptCount val="3"/>
                <c:pt idx="0">
                  <c:v>AI/ML</c:v>
                </c:pt>
                <c:pt idx="1">
                  <c:v>Data Analyst</c:v>
                </c:pt>
                <c:pt idx="2">
                  <c:v>Data Scientist</c:v>
                </c:pt>
              </c:strCache>
            </c:strRef>
          </c:cat>
          <c:val>
            <c:numRef>
              <c:f>'Headcount Distribution'!$B$4:$B$7</c:f>
              <c:numCache>
                <c:formatCode>General</c:formatCode>
                <c:ptCount val="3"/>
                <c:pt idx="0">
                  <c:v>313</c:v>
                </c:pt>
                <c:pt idx="1">
                  <c:v>348</c:v>
                </c:pt>
                <c:pt idx="2">
                  <c:v>339</c:v>
                </c:pt>
              </c:numCache>
            </c:numRef>
          </c:val>
          <c:extLst>
            <c:ext xmlns:c16="http://schemas.microsoft.com/office/drawing/2014/chart" uri="{C3380CC4-5D6E-409C-BE32-E72D297353CC}">
              <c16:uniqueId val="{00000000-ED13-4261-A37C-BE44EA32CA6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prstMaterial="clear"/>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[Tech­_Salary_Dashboard_India_2025.xlsx]Headcount Distribution!PivotTable7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38888888888889"/>
              <c:y val="-8.33333333333333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0925337632079971E-17"/>
              <c:y val="0.1805555555555553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805555555555555"/>
          <c:y val="5.3240740740740741E-2"/>
          <c:w val="0.46388888888888891"/>
          <c:h val="0.77314814814814814"/>
        </c:manualLayout>
      </c:layout>
      <c:doughnutChart>
        <c:varyColors val="1"/>
        <c:ser>
          <c:idx val="0"/>
          <c:order val="0"/>
          <c:tx>
            <c:strRef>
              <c:f>'Headcount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93D-41D5-852B-8B53F9FC5B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93D-41D5-852B-8B53F9FC5B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93D-41D5-852B-8B53F9FC5B9F}"/>
              </c:ext>
            </c:extLst>
          </c:dPt>
          <c:dLbls>
            <c:dLbl>
              <c:idx val="0"/>
              <c:layout>
                <c:manualLayout>
                  <c:x val="8.8888888888888892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93D-41D5-852B-8B53F9FC5B9F}"/>
                </c:ext>
              </c:extLst>
            </c:dLbl>
            <c:dLbl>
              <c:idx val="1"/>
              <c:layout>
                <c:manualLayout>
                  <c:x val="-5.0925337632079971E-17"/>
                  <c:y val="0.180555555555555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93D-41D5-852B-8B53F9FC5B9F}"/>
                </c:ext>
              </c:extLst>
            </c:dLbl>
            <c:dLbl>
              <c:idx val="2"/>
              <c:layout>
                <c:manualLayout>
                  <c:x val="-0.1138888888888889"/>
                  <c:y val="-8.3333333333333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3D-41D5-852B-8B53F9FC5B9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'Headcount Distribution'!$A$4:$A$7</c:f>
              <c:strCache>
                <c:ptCount val="3"/>
                <c:pt idx="0">
                  <c:v>AI/ML</c:v>
                </c:pt>
                <c:pt idx="1">
                  <c:v>Data Analyst</c:v>
                </c:pt>
                <c:pt idx="2">
                  <c:v>Data Scientist</c:v>
                </c:pt>
              </c:strCache>
            </c:strRef>
          </c:cat>
          <c:val>
            <c:numRef>
              <c:f>'Headcount Distribution'!$B$4:$B$7</c:f>
              <c:numCache>
                <c:formatCode>General</c:formatCode>
                <c:ptCount val="3"/>
                <c:pt idx="0">
                  <c:v>313</c:v>
                </c:pt>
                <c:pt idx="1">
                  <c:v>348</c:v>
                </c:pt>
                <c:pt idx="2">
                  <c:v>339</c:v>
                </c:pt>
              </c:numCache>
            </c:numRef>
          </c:val>
          <c:extLst>
            <c:ext xmlns:c16="http://schemas.microsoft.com/office/drawing/2014/chart" uri="{C3380CC4-5D6E-409C-BE32-E72D297353CC}">
              <c16:uniqueId val="{00000000-893D-41D5-852B-8B53F9FC5B9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[Tech­_Salary_Dashboard_India_2025.xlsx]Sheet10!PivotTable8</c:name>
    <c:fmtId val="2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Sheet10!$H$4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Sheet10!$G$5:$G$8</c:f>
              <c:strCache>
                <c:ptCount val="3"/>
                <c:pt idx="0">
                  <c:v>AI/ML</c:v>
                </c:pt>
                <c:pt idx="1">
                  <c:v>Data Analyst</c:v>
                </c:pt>
                <c:pt idx="2">
                  <c:v>Data Scientist</c:v>
                </c:pt>
              </c:strCache>
            </c:strRef>
          </c:cat>
          <c:val>
            <c:numRef>
              <c:f>Sheet10!$H$5:$H$8</c:f>
              <c:numCache>
                <c:formatCode>"₹"\ #,##0.00</c:formatCode>
                <c:ptCount val="3"/>
                <c:pt idx="0">
                  <c:v>2962988.6900958465</c:v>
                </c:pt>
                <c:pt idx="1">
                  <c:v>1940276.867816092</c:v>
                </c:pt>
                <c:pt idx="2">
                  <c:v>2314777.4306784659</c:v>
                </c:pt>
              </c:numCache>
            </c:numRef>
          </c:val>
          <c:extLst>
            <c:ext xmlns:c16="http://schemas.microsoft.com/office/drawing/2014/chart" uri="{C3380CC4-5D6E-409C-BE32-E72D297353CC}">
              <c16:uniqueId val="{00000000-D12F-43CC-BB86-D239F2864DFF}"/>
            </c:ext>
          </c:extLst>
        </c:ser>
        <c:dLbls>
          <c:showLegendKey val="0"/>
          <c:showVal val="0"/>
          <c:showCatName val="0"/>
          <c:showSerName val="0"/>
          <c:showPercent val="0"/>
          <c:showBubbleSize val="0"/>
        </c:dLbls>
        <c:gapWidth val="150"/>
        <c:shape val="box"/>
        <c:axId val="202824127"/>
        <c:axId val="202827007"/>
        <c:axId val="443593599"/>
      </c:bar3DChart>
      <c:catAx>
        <c:axId val="202824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7007"/>
        <c:crosses val="autoZero"/>
        <c:auto val="1"/>
        <c:lblAlgn val="ctr"/>
        <c:lblOffset val="100"/>
        <c:noMultiLvlLbl val="0"/>
      </c:catAx>
      <c:valAx>
        <c:axId val="202827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4127"/>
        <c:crosses val="autoZero"/>
        <c:crossBetween val="between"/>
      </c:valAx>
      <c:serAx>
        <c:axId val="443593599"/>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70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5" Type="http://schemas.openxmlformats.org/officeDocument/2006/relationships/chart" Target="../charts/chart7.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173182</xdr:colOff>
      <xdr:row>0</xdr:row>
      <xdr:rowOff>123702</xdr:rowOff>
    </xdr:from>
    <xdr:to>
      <xdr:col>14</xdr:col>
      <xdr:colOff>303696</xdr:colOff>
      <xdr:row>5</xdr:row>
      <xdr:rowOff>24740</xdr:rowOff>
    </xdr:to>
    <xdr:sp macro="" textlink="">
      <xdr:nvSpPr>
        <xdr:cNvPr id="3" name="Rectangle: Rounded Corners 2">
          <a:extLst>
            <a:ext uri="{FF2B5EF4-FFF2-40B4-BE49-F238E27FC236}">
              <a16:creationId xmlns:a16="http://schemas.microsoft.com/office/drawing/2014/main" id="{0D661267-9959-FC99-4572-10B31C7B5CD3}"/>
            </a:ext>
          </a:extLst>
        </xdr:cNvPr>
        <xdr:cNvSpPr/>
      </xdr:nvSpPr>
      <xdr:spPr>
        <a:xfrm>
          <a:off x="3900356" y="123702"/>
          <a:ext cx="10566601" cy="798321"/>
        </a:xfrm>
        <a:prstGeom prst="roundRect">
          <a:avLst/>
        </a:prstGeom>
        <a:solidFill>
          <a:schemeClr val="bg1"/>
        </a:solidFill>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solidFill>
                <a:schemeClr val="tx2"/>
              </a:solidFill>
              <a:latin typeface="+mn-lt"/>
            </a:rPr>
            <a:t>          </a:t>
          </a:r>
          <a:r>
            <a:rPr lang="en-IN" sz="2600" b="1">
              <a:solidFill>
                <a:schemeClr val="tx2"/>
              </a:solidFill>
              <a:latin typeface="+mn-lt"/>
            </a:rPr>
            <a:t>Tech</a:t>
          </a:r>
          <a:r>
            <a:rPr lang="en-IN" sz="2600" b="1" baseline="0">
              <a:solidFill>
                <a:schemeClr val="tx2"/>
              </a:solidFill>
              <a:latin typeface="+mn-lt"/>
            </a:rPr>
            <a:t> Salary Dashboard India 2025 </a:t>
          </a:r>
          <a:endParaRPr lang="en-IN" sz="2600" b="1">
            <a:solidFill>
              <a:schemeClr val="tx2"/>
            </a:solidFill>
            <a:latin typeface="+mn-lt"/>
          </a:endParaRPr>
        </a:p>
      </xdr:txBody>
    </xdr:sp>
    <xdr:clientData/>
  </xdr:twoCellAnchor>
  <xdr:twoCellAnchor editAs="oneCell">
    <xdr:from>
      <xdr:col>2</xdr:col>
      <xdr:colOff>239156</xdr:colOff>
      <xdr:row>0</xdr:row>
      <xdr:rowOff>115455</xdr:rowOff>
    </xdr:from>
    <xdr:to>
      <xdr:col>2</xdr:col>
      <xdr:colOff>940131</xdr:colOff>
      <xdr:row>4</xdr:row>
      <xdr:rowOff>72573</xdr:rowOff>
    </xdr:to>
    <xdr:pic>
      <xdr:nvPicPr>
        <xdr:cNvPr id="5" name="Graphic 4" descr="Bar chart with solid fill">
          <a:extLst>
            <a:ext uri="{FF2B5EF4-FFF2-40B4-BE49-F238E27FC236}">
              <a16:creationId xmlns:a16="http://schemas.microsoft.com/office/drawing/2014/main" id="{2E9AD95C-5FBD-ABAA-8D6A-F70C9C206A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5260" y="115455"/>
          <a:ext cx="700975" cy="700975"/>
        </a:xfrm>
        <a:prstGeom prst="rect">
          <a:avLst/>
        </a:prstGeom>
      </xdr:spPr>
    </xdr:pic>
    <xdr:clientData/>
  </xdr:twoCellAnchor>
  <xdr:twoCellAnchor>
    <xdr:from>
      <xdr:col>2</xdr:col>
      <xdr:colOff>230909</xdr:colOff>
      <xdr:row>6</xdr:row>
      <xdr:rowOff>105834</xdr:rowOff>
    </xdr:from>
    <xdr:to>
      <xdr:col>4</xdr:col>
      <xdr:colOff>1053829</xdr:colOff>
      <xdr:row>13</xdr:row>
      <xdr:rowOff>144319</xdr:rowOff>
    </xdr:to>
    <xdr:sp macro="" textlink="">
      <xdr:nvSpPr>
        <xdr:cNvPr id="9" name="Rectangle: Rounded Corners 8">
          <a:extLst>
            <a:ext uri="{FF2B5EF4-FFF2-40B4-BE49-F238E27FC236}">
              <a16:creationId xmlns:a16="http://schemas.microsoft.com/office/drawing/2014/main" id="{D07000BB-D5D2-4FE9-B602-997D9CB2E6C2}"/>
            </a:ext>
          </a:extLst>
        </xdr:cNvPr>
        <xdr:cNvSpPr/>
      </xdr:nvSpPr>
      <xdr:spPr>
        <a:xfrm>
          <a:off x="3959845" y="1240728"/>
          <a:ext cx="3092707" cy="1362527"/>
        </a:xfrm>
        <a:prstGeom prst="roundRect">
          <a:avLst/>
        </a:prstGeom>
        <a:ln>
          <a:solidFill>
            <a:schemeClr val="bg1">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300" b="1">
              <a:solidFill>
                <a:schemeClr val="tx2"/>
              </a:solidFill>
            </a:rPr>
            <a:t>Average</a:t>
          </a:r>
          <a:r>
            <a:rPr lang="en-IN" sz="2400" b="1">
              <a:solidFill>
                <a:schemeClr val="tx2"/>
              </a:solidFill>
            </a:rPr>
            <a:t> CTC Salary</a:t>
          </a:r>
        </a:p>
      </xdr:txBody>
    </xdr:sp>
    <xdr:clientData/>
  </xdr:twoCellAnchor>
  <xdr:twoCellAnchor>
    <xdr:from>
      <xdr:col>5</xdr:col>
      <xdr:colOff>417600</xdr:colOff>
      <xdr:row>6</xdr:row>
      <xdr:rowOff>148209</xdr:rowOff>
    </xdr:from>
    <xdr:to>
      <xdr:col>8</xdr:col>
      <xdr:colOff>283723</xdr:colOff>
      <xdr:row>13</xdr:row>
      <xdr:rowOff>186694</xdr:rowOff>
    </xdr:to>
    <xdr:sp macro="" textlink="">
      <xdr:nvSpPr>
        <xdr:cNvPr id="11" name="Rectangle: Rounded Corners 10">
          <a:extLst>
            <a:ext uri="{FF2B5EF4-FFF2-40B4-BE49-F238E27FC236}">
              <a16:creationId xmlns:a16="http://schemas.microsoft.com/office/drawing/2014/main" id="{1090D346-F608-42BB-81EF-84EDA9324BEB}"/>
            </a:ext>
          </a:extLst>
        </xdr:cNvPr>
        <xdr:cNvSpPr/>
      </xdr:nvSpPr>
      <xdr:spPr>
        <a:xfrm>
          <a:off x="7551217" y="1283103"/>
          <a:ext cx="3270804" cy="1362527"/>
        </a:xfrm>
        <a:prstGeom prst="roundRect">
          <a:avLst/>
        </a:prstGeom>
        <a:ln>
          <a:solidFill>
            <a:schemeClr val="bg1">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300" b="1">
              <a:solidFill>
                <a:schemeClr val="tx2"/>
              </a:solidFill>
            </a:rPr>
            <a:t>Highest Paying Role</a:t>
          </a:r>
        </a:p>
        <a:p>
          <a:pPr algn="l"/>
          <a:r>
            <a:rPr lang="en-IN" sz="2300" b="0">
              <a:solidFill>
                <a:schemeClr val="tx1">
                  <a:lumMod val="50000"/>
                  <a:lumOff val="50000"/>
                </a:schemeClr>
              </a:solidFill>
            </a:rPr>
            <a:t>           </a:t>
          </a:r>
        </a:p>
      </xdr:txBody>
    </xdr:sp>
    <xdr:clientData/>
  </xdr:twoCellAnchor>
  <xdr:twoCellAnchor>
    <xdr:from>
      <xdr:col>9</xdr:col>
      <xdr:colOff>136745</xdr:colOff>
      <xdr:row>6</xdr:row>
      <xdr:rowOff>105834</xdr:rowOff>
    </xdr:from>
    <xdr:to>
      <xdr:col>14</xdr:col>
      <xdr:colOff>297233</xdr:colOff>
      <xdr:row>13</xdr:row>
      <xdr:rowOff>144319</xdr:rowOff>
    </xdr:to>
    <xdr:sp macro="" textlink="">
      <xdr:nvSpPr>
        <xdr:cNvPr id="13" name="Rectangle: Rounded Corners 12">
          <a:extLst>
            <a:ext uri="{FF2B5EF4-FFF2-40B4-BE49-F238E27FC236}">
              <a16:creationId xmlns:a16="http://schemas.microsoft.com/office/drawing/2014/main" id="{C3D54D3B-B27C-4599-8F9A-C88CCF5D0E9E}"/>
            </a:ext>
          </a:extLst>
        </xdr:cNvPr>
        <xdr:cNvSpPr/>
      </xdr:nvSpPr>
      <xdr:spPr>
        <a:xfrm>
          <a:off x="13018174" y="1194405"/>
          <a:ext cx="3199416" cy="1308485"/>
        </a:xfrm>
        <a:prstGeom prst="roundRect">
          <a:avLst/>
        </a:prstGeom>
        <a:ln>
          <a:solidFill>
            <a:schemeClr val="bg1">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300" b="1">
              <a:solidFill>
                <a:schemeClr val="tx2"/>
              </a:solidFill>
            </a:rPr>
            <a:t>Highest</a:t>
          </a:r>
          <a:r>
            <a:rPr lang="en-IN" sz="2300" b="1" baseline="0">
              <a:solidFill>
                <a:schemeClr val="tx2"/>
              </a:solidFill>
            </a:rPr>
            <a:t> Paying City</a:t>
          </a:r>
        </a:p>
      </xdr:txBody>
    </xdr:sp>
    <xdr:clientData/>
  </xdr:twoCellAnchor>
  <xdr:twoCellAnchor editAs="oneCell">
    <xdr:from>
      <xdr:col>5</xdr:col>
      <xdr:colOff>636637</xdr:colOff>
      <xdr:row>9</xdr:row>
      <xdr:rowOff>148207</xdr:rowOff>
    </xdr:from>
    <xdr:to>
      <xdr:col>6</xdr:col>
      <xdr:colOff>98259</xdr:colOff>
      <xdr:row>13</xdr:row>
      <xdr:rowOff>13511</xdr:rowOff>
    </xdr:to>
    <xdr:pic>
      <xdr:nvPicPr>
        <xdr:cNvPr id="15" name="Graphic 14" descr="Bar graph with upward trend with solid fill">
          <a:extLst>
            <a:ext uri="{FF2B5EF4-FFF2-40B4-BE49-F238E27FC236}">
              <a16:creationId xmlns:a16="http://schemas.microsoft.com/office/drawing/2014/main" id="{00856661-B44A-6132-F450-1378ECB016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70254" y="1850547"/>
          <a:ext cx="596516" cy="621900"/>
        </a:xfrm>
        <a:prstGeom prst="rect">
          <a:avLst/>
        </a:prstGeom>
      </xdr:spPr>
    </xdr:pic>
    <xdr:clientData/>
  </xdr:twoCellAnchor>
  <xdr:twoCellAnchor>
    <xdr:from>
      <xdr:col>6</xdr:col>
      <xdr:colOff>385462</xdr:colOff>
      <xdr:row>9</xdr:row>
      <xdr:rowOff>158239</xdr:rowOff>
    </xdr:from>
    <xdr:to>
      <xdr:col>7</xdr:col>
      <xdr:colOff>558645</xdr:colOff>
      <xdr:row>12</xdr:row>
      <xdr:rowOff>177482</xdr:rowOff>
    </xdr:to>
    <xdr:sp macro="" textlink="">
      <xdr:nvSpPr>
        <xdr:cNvPr id="16" name="Rectangle 15">
          <a:extLst>
            <a:ext uri="{FF2B5EF4-FFF2-40B4-BE49-F238E27FC236}">
              <a16:creationId xmlns:a16="http://schemas.microsoft.com/office/drawing/2014/main" id="{2ACAFB2B-F6F0-F865-E499-A6F9159181A7}"/>
            </a:ext>
          </a:extLst>
        </xdr:cNvPr>
        <xdr:cNvSpPr/>
      </xdr:nvSpPr>
      <xdr:spPr>
        <a:xfrm>
          <a:off x="8653973" y="1860579"/>
          <a:ext cx="1308076" cy="58669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400" b="1">
              <a:solidFill>
                <a:schemeClr val="tx1">
                  <a:lumMod val="65000"/>
                  <a:lumOff val="35000"/>
                </a:schemeClr>
              </a:solidFill>
            </a:rPr>
            <a:t>AI/ML</a:t>
          </a:r>
        </a:p>
      </xdr:txBody>
    </xdr:sp>
    <xdr:clientData/>
  </xdr:twoCellAnchor>
  <xdr:twoCellAnchor>
    <xdr:from>
      <xdr:col>10</xdr:col>
      <xdr:colOff>317225</xdr:colOff>
      <xdr:row>9</xdr:row>
      <xdr:rowOff>154578</xdr:rowOff>
    </xdr:from>
    <xdr:to>
      <xdr:col>12</xdr:col>
      <xdr:colOff>317223</xdr:colOff>
      <xdr:row>13</xdr:row>
      <xdr:rowOff>6298</xdr:rowOff>
    </xdr:to>
    <xdr:sp macro="" textlink="">
      <xdr:nvSpPr>
        <xdr:cNvPr id="17" name="Rectangle 16">
          <a:extLst>
            <a:ext uri="{FF2B5EF4-FFF2-40B4-BE49-F238E27FC236}">
              <a16:creationId xmlns:a16="http://schemas.microsoft.com/office/drawing/2014/main" id="{0B414C06-D4BB-E937-F47C-DE46CA7C6A6F}"/>
            </a:ext>
          </a:extLst>
        </xdr:cNvPr>
        <xdr:cNvSpPr/>
      </xdr:nvSpPr>
      <xdr:spPr>
        <a:xfrm>
          <a:off x="12071480" y="1856918"/>
          <a:ext cx="1215956" cy="60831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300" b="1">
              <a:solidFill>
                <a:schemeClr val="tx1">
                  <a:lumMod val="65000"/>
                  <a:lumOff val="35000"/>
                </a:schemeClr>
              </a:solidFill>
            </a:rPr>
            <a:t>Kolkata</a:t>
          </a:r>
        </a:p>
      </xdr:txBody>
    </xdr:sp>
    <xdr:clientData/>
  </xdr:twoCellAnchor>
  <xdr:twoCellAnchor>
    <xdr:from>
      <xdr:col>2</xdr:col>
      <xdr:colOff>684804</xdr:colOff>
      <xdr:row>9</xdr:row>
      <xdr:rowOff>174314</xdr:rowOff>
    </xdr:from>
    <xdr:to>
      <xdr:col>4</xdr:col>
      <xdr:colOff>435784</xdr:colOff>
      <xdr:row>12</xdr:row>
      <xdr:rowOff>174314</xdr:rowOff>
    </xdr:to>
    <xdr:sp macro="" textlink="">
      <xdr:nvSpPr>
        <xdr:cNvPr id="21" name="Rectangle 20">
          <a:extLst>
            <a:ext uri="{FF2B5EF4-FFF2-40B4-BE49-F238E27FC236}">
              <a16:creationId xmlns:a16="http://schemas.microsoft.com/office/drawing/2014/main" id="{FCD1D0AA-30F6-6F97-29B4-0B711F41FAC5}"/>
            </a:ext>
          </a:extLst>
        </xdr:cNvPr>
        <xdr:cNvSpPr/>
      </xdr:nvSpPr>
      <xdr:spPr>
        <a:xfrm>
          <a:off x="2950882" y="1855196"/>
          <a:ext cx="2017059" cy="560294"/>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200" b="1">
              <a:solidFill>
                <a:schemeClr val="tx1">
                  <a:lumMod val="65000"/>
                  <a:lumOff val="35000"/>
                </a:schemeClr>
              </a:solidFill>
            </a:rPr>
            <a:t>19 LPA - 29 LPA</a:t>
          </a:r>
        </a:p>
      </xdr:txBody>
    </xdr:sp>
    <xdr:clientData/>
  </xdr:twoCellAnchor>
  <xdr:twoCellAnchor>
    <xdr:from>
      <xdr:col>2</xdr:col>
      <xdr:colOff>369186</xdr:colOff>
      <xdr:row>15</xdr:row>
      <xdr:rowOff>147674</xdr:rowOff>
    </xdr:from>
    <xdr:to>
      <xdr:col>7</xdr:col>
      <xdr:colOff>280581</xdr:colOff>
      <xdr:row>40</xdr:row>
      <xdr:rowOff>22280</xdr:rowOff>
    </xdr:to>
    <xdr:sp macro="" textlink="">
      <xdr:nvSpPr>
        <xdr:cNvPr id="25" name="Rectangle: Rounded Corners 24">
          <a:extLst>
            <a:ext uri="{FF2B5EF4-FFF2-40B4-BE49-F238E27FC236}">
              <a16:creationId xmlns:a16="http://schemas.microsoft.com/office/drawing/2014/main" id="{5000F69A-AAF7-0ED2-6739-45D0FBAC375F}"/>
            </a:ext>
          </a:extLst>
        </xdr:cNvPr>
        <xdr:cNvSpPr/>
      </xdr:nvSpPr>
      <xdr:spPr>
        <a:xfrm>
          <a:off x="4101204" y="2988463"/>
          <a:ext cx="5592973" cy="4609256"/>
        </a:xfrm>
        <a:prstGeom prst="roundRect">
          <a:avLst/>
        </a:prstGeom>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Average</a:t>
          </a:r>
          <a:r>
            <a:rPr lang="en-IN" sz="2000" b="1" baseline="0">
              <a:solidFill>
                <a:schemeClr val="tx2"/>
              </a:solidFill>
            </a:rPr>
            <a:t> salary by Generic role</a:t>
          </a:r>
          <a:endParaRPr lang="en-IN" sz="2000" b="1">
            <a:solidFill>
              <a:schemeClr val="tx2"/>
            </a:solidFill>
          </a:endParaRPr>
        </a:p>
      </xdr:txBody>
    </xdr:sp>
    <xdr:clientData/>
  </xdr:twoCellAnchor>
  <xdr:twoCellAnchor>
    <xdr:from>
      <xdr:col>7</xdr:col>
      <xdr:colOff>441739</xdr:colOff>
      <xdr:row>15</xdr:row>
      <xdr:rowOff>82825</xdr:rowOff>
    </xdr:from>
    <xdr:to>
      <xdr:col>14</xdr:col>
      <xdr:colOff>579783</xdr:colOff>
      <xdr:row>39</xdr:row>
      <xdr:rowOff>181428</xdr:rowOff>
    </xdr:to>
    <xdr:sp macro="" textlink="">
      <xdr:nvSpPr>
        <xdr:cNvPr id="28" name="Rectangle: Rounded Corners 27">
          <a:extLst>
            <a:ext uri="{FF2B5EF4-FFF2-40B4-BE49-F238E27FC236}">
              <a16:creationId xmlns:a16="http://schemas.microsoft.com/office/drawing/2014/main" id="{05FA794D-A0C7-3928-5305-1438B2A76D74}"/>
            </a:ext>
          </a:extLst>
        </xdr:cNvPr>
        <xdr:cNvSpPr/>
      </xdr:nvSpPr>
      <xdr:spPr>
        <a:xfrm>
          <a:off x="11581453" y="2804254"/>
          <a:ext cx="4918687" cy="4452888"/>
        </a:xfrm>
        <a:prstGeom prst="roundRect">
          <a:avLst/>
        </a:prstGeom>
        <a:ln>
          <a:solidFill>
            <a:schemeClr val="bg1">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Salary Growth Curve</a:t>
          </a:r>
        </a:p>
      </xdr:txBody>
    </xdr:sp>
    <xdr:clientData/>
  </xdr:twoCellAnchor>
  <xdr:twoCellAnchor>
    <xdr:from>
      <xdr:col>7</xdr:col>
      <xdr:colOff>552173</xdr:colOff>
      <xdr:row>18</xdr:row>
      <xdr:rowOff>143099</xdr:rowOff>
    </xdr:from>
    <xdr:to>
      <xdr:col>14</xdr:col>
      <xdr:colOff>468814</xdr:colOff>
      <xdr:row>37</xdr:row>
      <xdr:rowOff>179455</xdr:rowOff>
    </xdr:to>
    <xdr:graphicFrame macro="">
      <xdr:nvGraphicFramePr>
        <xdr:cNvPr id="29" name="Chart 28">
          <a:extLst>
            <a:ext uri="{FF2B5EF4-FFF2-40B4-BE49-F238E27FC236}">
              <a16:creationId xmlns:a16="http://schemas.microsoft.com/office/drawing/2014/main" id="{AEB417DA-A585-4D65-AD83-00D6C8448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122902</xdr:colOff>
      <xdr:row>0</xdr:row>
      <xdr:rowOff>122903</xdr:rowOff>
    </xdr:from>
    <xdr:to>
      <xdr:col>25</xdr:col>
      <xdr:colOff>50800</xdr:colOff>
      <xdr:row>19</xdr:row>
      <xdr:rowOff>20484</xdr:rowOff>
    </xdr:to>
    <xdr:sp macro="" textlink="">
      <xdr:nvSpPr>
        <xdr:cNvPr id="30" name="Rectangle: Rounded Corners 29">
          <a:extLst>
            <a:ext uri="{FF2B5EF4-FFF2-40B4-BE49-F238E27FC236}">
              <a16:creationId xmlns:a16="http://schemas.microsoft.com/office/drawing/2014/main" id="{A872BB27-6E7D-E2E0-FD52-EBC0B3E37E5F}"/>
            </a:ext>
          </a:extLst>
        </xdr:cNvPr>
        <xdr:cNvSpPr/>
      </xdr:nvSpPr>
      <xdr:spPr>
        <a:xfrm>
          <a:off x="16734502" y="122903"/>
          <a:ext cx="6023898" cy="3529781"/>
        </a:xfrm>
        <a:prstGeom prst="roundRect">
          <a:avLst/>
        </a:prstGeom>
        <a:ln>
          <a:solidFill>
            <a:schemeClr val="bg1">
              <a:lumMod val="7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Average</a:t>
          </a:r>
          <a:r>
            <a:rPr lang="en-IN" sz="2000" b="1" baseline="0">
              <a:solidFill>
                <a:schemeClr val="tx2"/>
              </a:solidFill>
            </a:rPr>
            <a:t> salary of city</a:t>
          </a:r>
          <a:endParaRPr lang="en-IN" sz="2000" b="1">
            <a:solidFill>
              <a:schemeClr val="tx2"/>
            </a:solidFill>
          </a:endParaRPr>
        </a:p>
      </xdr:txBody>
    </xdr:sp>
    <xdr:clientData/>
  </xdr:twoCellAnchor>
  <xdr:twoCellAnchor>
    <xdr:from>
      <xdr:col>15</xdr:col>
      <xdr:colOff>163871</xdr:colOff>
      <xdr:row>19</xdr:row>
      <xdr:rowOff>163870</xdr:rowOff>
    </xdr:from>
    <xdr:to>
      <xdr:col>25</xdr:col>
      <xdr:colOff>139700</xdr:colOff>
      <xdr:row>40</xdr:row>
      <xdr:rowOff>61451</xdr:rowOff>
    </xdr:to>
    <xdr:sp macro="" textlink="">
      <xdr:nvSpPr>
        <xdr:cNvPr id="31" name="Rectangle: Rounded Corners 30">
          <a:extLst>
            <a:ext uri="{FF2B5EF4-FFF2-40B4-BE49-F238E27FC236}">
              <a16:creationId xmlns:a16="http://schemas.microsoft.com/office/drawing/2014/main" id="{32357C27-00E7-41BF-9DFE-2F99CF352F0C}"/>
            </a:ext>
          </a:extLst>
        </xdr:cNvPr>
        <xdr:cNvSpPr/>
      </xdr:nvSpPr>
      <xdr:spPr>
        <a:xfrm>
          <a:off x="16775471" y="3796070"/>
          <a:ext cx="6071829" cy="3898081"/>
        </a:xfrm>
        <a:prstGeom prst="roundRect">
          <a:avLst/>
        </a:prstGeom>
        <a:ln>
          <a:solidFill>
            <a:schemeClr val="bg1">
              <a:lumMod val="7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Average</a:t>
          </a:r>
          <a:r>
            <a:rPr lang="en-IN" sz="2000" b="1" baseline="0">
              <a:solidFill>
                <a:schemeClr val="tx2"/>
              </a:solidFill>
            </a:rPr>
            <a:t> Female vs Male Salary</a:t>
          </a:r>
          <a:endParaRPr lang="en-IN" sz="2000" b="1">
            <a:solidFill>
              <a:schemeClr val="tx2"/>
            </a:solidFill>
          </a:endParaRPr>
        </a:p>
      </xdr:txBody>
    </xdr:sp>
    <xdr:clientData/>
  </xdr:twoCellAnchor>
  <xdr:twoCellAnchor>
    <xdr:from>
      <xdr:col>15</xdr:col>
      <xdr:colOff>177800</xdr:colOff>
      <xdr:row>3</xdr:row>
      <xdr:rowOff>139700</xdr:rowOff>
    </xdr:from>
    <xdr:to>
      <xdr:col>25</xdr:col>
      <xdr:colOff>25400</xdr:colOff>
      <xdr:row>17</xdr:row>
      <xdr:rowOff>34510</xdr:rowOff>
    </xdr:to>
    <xdr:graphicFrame macro="">
      <xdr:nvGraphicFramePr>
        <xdr:cNvPr id="32" name="Chart 31">
          <a:extLst>
            <a:ext uri="{FF2B5EF4-FFF2-40B4-BE49-F238E27FC236}">
              <a16:creationId xmlns:a16="http://schemas.microsoft.com/office/drawing/2014/main" id="{C01C7502-D13E-444A-B8DF-ED2A74507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259462</xdr:colOff>
      <xdr:row>23</xdr:row>
      <xdr:rowOff>28864</xdr:rowOff>
    </xdr:from>
    <xdr:to>
      <xdr:col>23</xdr:col>
      <xdr:colOff>594033</xdr:colOff>
      <xdr:row>38</xdr:row>
      <xdr:rowOff>163871</xdr:rowOff>
    </xdr:to>
    <xdr:graphicFrame macro="">
      <xdr:nvGraphicFramePr>
        <xdr:cNvPr id="33" name="Chart 32">
          <a:extLst>
            <a:ext uri="{FF2B5EF4-FFF2-40B4-BE49-F238E27FC236}">
              <a16:creationId xmlns:a16="http://schemas.microsoft.com/office/drawing/2014/main" id="{B7798BD4-D80F-4565-B8A1-4F94EDBF2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465667</xdr:colOff>
      <xdr:row>42</xdr:row>
      <xdr:rowOff>169333</xdr:rowOff>
    </xdr:from>
    <xdr:to>
      <xdr:col>9</xdr:col>
      <xdr:colOff>328448</xdr:colOff>
      <xdr:row>73</xdr:row>
      <xdr:rowOff>23962</xdr:rowOff>
    </xdr:to>
    <xdr:sp macro="" textlink="">
      <xdr:nvSpPr>
        <xdr:cNvPr id="34" name="Rectangle: Rounded Corners 33">
          <a:extLst>
            <a:ext uri="{FF2B5EF4-FFF2-40B4-BE49-F238E27FC236}">
              <a16:creationId xmlns:a16="http://schemas.microsoft.com/office/drawing/2014/main" id="{9D75615F-6C77-1900-FF5F-BA21D86A5248}"/>
            </a:ext>
          </a:extLst>
        </xdr:cNvPr>
        <xdr:cNvSpPr/>
      </xdr:nvSpPr>
      <xdr:spPr>
        <a:xfrm>
          <a:off x="4203780" y="7717446"/>
          <a:ext cx="7303064" cy="5425856"/>
        </a:xfrm>
        <a:prstGeom prst="roundRect">
          <a:avLst/>
        </a:prstGeom>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Average Salary by Education</a:t>
          </a:r>
        </a:p>
      </xdr:txBody>
    </xdr:sp>
    <xdr:clientData/>
  </xdr:twoCellAnchor>
  <xdr:twoCellAnchor>
    <xdr:from>
      <xdr:col>2</xdr:col>
      <xdr:colOff>744483</xdr:colOff>
      <xdr:row>48</xdr:row>
      <xdr:rowOff>0</xdr:rowOff>
    </xdr:from>
    <xdr:to>
      <xdr:col>9</xdr:col>
      <xdr:colOff>43793</xdr:colOff>
      <xdr:row>70</xdr:row>
      <xdr:rowOff>109483</xdr:rowOff>
    </xdr:to>
    <xdr:graphicFrame macro="">
      <xdr:nvGraphicFramePr>
        <xdr:cNvPr id="35" name="Chart 34">
          <a:extLst>
            <a:ext uri="{FF2B5EF4-FFF2-40B4-BE49-F238E27FC236}">
              <a16:creationId xmlns:a16="http://schemas.microsoft.com/office/drawing/2014/main" id="{B87EE57D-B775-4AED-9510-A7D8FDEA8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526142</xdr:colOff>
      <xdr:row>42</xdr:row>
      <xdr:rowOff>145142</xdr:rowOff>
    </xdr:from>
    <xdr:to>
      <xdr:col>17</xdr:col>
      <xdr:colOff>199571</xdr:colOff>
      <xdr:row>72</xdr:row>
      <xdr:rowOff>72571</xdr:rowOff>
    </xdr:to>
    <xdr:sp macro="" textlink="">
      <xdr:nvSpPr>
        <xdr:cNvPr id="36" name="Rectangle: Rounded Corners 35">
          <a:extLst>
            <a:ext uri="{FF2B5EF4-FFF2-40B4-BE49-F238E27FC236}">
              <a16:creationId xmlns:a16="http://schemas.microsoft.com/office/drawing/2014/main" id="{55B05FEF-5ACC-D772-FE4F-3B25A3FF3331}"/>
            </a:ext>
          </a:extLst>
        </xdr:cNvPr>
        <xdr:cNvSpPr/>
      </xdr:nvSpPr>
      <xdr:spPr>
        <a:xfrm>
          <a:off x="11738428" y="7765142"/>
          <a:ext cx="4608286" cy="5370286"/>
        </a:xfrm>
        <a:prstGeom prst="roundRect">
          <a:avLst/>
        </a:prstGeom>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Company</a:t>
          </a:r>
          <a:r>
            <a:rPr lang="en-IN" sz="2000" b="1" baseline="0">
              <a:solidFill>
                <a:schemeClr val="tx2"/>
              </a:solidFill>
            </a:rPr>
            <a:t> Type Impact</a:t>
          </a:r>
          <a:endParaRPr lang="en-IN" sz="2000" b="1">
            <a:solidFill>
              <a:schemeClr val="tx2"/>
            </a:solidFill>
          </a:endParaRPr>
        </a:p>
      </xdr:txBody>
    </xdr:sp>
    <xdr:clientData/>
  </xdr:twoCellAnchor>
  <xdr:twoCellAnchor>
    <xdr:from>
      <xdr:col>10</xdr:col>
      <xdr:colOff>34637</xdr:colOff>
      <xdr:row>46</xdr:row>
      <xdr:rowOff>138545</xdr:rowOff>
    </xdr:from>
    <xdr:to>
      <xdr:col>16</xdr:col>
      <xdr:colOff>577274</xdr:colOff>
      <xdr:row>69</xdr:row>
      <xdr:rowOff>46181</xdr:rowOff>
    </xdr:to>
    <xdr:graphicFrame macro="">
      <xdr:nvGraphicFramePr>
        <xdr:cNvPr id="39" name="Chart 38">
          <a:extLst>
            <a:ext uri="{FF2B5EF4-FFF2-40B4-BE49-F238E27FC236}">
              <a16:creationId xmlns:a16="http://schemas.microsoft.com/office/drawing/2014/main" id="{6D205185-4847-471C-A7BA-26A957F0F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368709</xdr:colOff>
      <xdr:row>42</xdr:row>
      <xdr:rowOff>143387</xdr:rowOff>
    </xdr:from>
    <xdr:to>
      <xdr:col>24</xdr:col>
      <xdr:colOff>266290</xdr:colOff>
      <xdr:row>72</xdr:row>
      <xdr:rowOff>61452</xdr:rowOff>
    </xdr:to>
    <xdr:sp macro="" textlink="">
      <xdr:nvSpPr>
        <xdr:cNvPr id="40" name="Rectangle: Rounded Corners 39">
          <a:extLst>
            <a:ext uri="{FF2B5EF4-FFF2-40B4-BE49-F238E27FC236}">
              <a16:creationId xmlns:a16="http://schemas.microsoft.com/office/drawing/2014/main" id="{3656A949-6D50-203D-7763-B495751A39FD}"/>
            </a:ext>
          </a:extLst>
        </xdr:cNvPr>
        <xdr:cNvSpPr/>
      </xdr:nvSpPr>
      <xdr:spPr>
        <a:xfrm>
          <a:off x="18148709" y="7935366"/>
          <a:ext cx="4157373" cy="5474315"/>
        </a:xfrm>
        <a:prstGeom prst="roundRect">
          <a:avLst/>
        </a:prstGeom>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2"/>
              </a:solidFill>
            </a:rPr>
            <a:t>Headcount Distribution</a:t>
          </a:r>
        </a:p>
      </xdr:txBody>
    </xdr:sp>
    <xdr:clientData/>
  </xdr:twoCellAnchor>
  <xdr:twoCellAnchor>
    <xdr:from>
      <xdr:col>17</xdr:col>
      <xdr:colOff>505114</xdr:colOff>
      <xdr:row>46</xdr:row>
      <xdr:rowOff>115455</xdr:rowOff>
    </xdr:from>
    <xdr:to>
      <xdr:col>24</xdr:col>
      <xdr:colOff>158750</xdr:colOff>
      <xdr:row>70</xdr:row>
      <xdr:rowOff>14431</xdr:rowOff>
    </xdr:to>
    <xdr:graphicFrame macro="">
      <xdr:nvGraphicFramePr>
        <xdr:cNvPr id="46" name="Chart 45">
          <a:extLst>
            <a:ext uri="{FF2B5EF4-FFF2-40B4-BE49-F238E27FC236}">
              <a16:creationId xmlns:a16="http://schemas.microsoft.com/office/drawing/2014/main" id="{22ABE7B0-3331-4427-BBB9-22C9C157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148441</xdr:colOff>
      <xdr:row>7</xdr:row>
      <xdr:rowOff>165760</xdr:rowOff>
    </xdr:from>
    <xdr:to>
      <xdr:col>1</xdr:col>
      <xdr:colOff>1954480</xdr:colOff>
      <xdr:row>17</xdr:row>
      <xdr:rowOff>168433</xdr:rowOff>
    </xdr:to>
    <xdr:sp macro="" textlink="">
      <xdr:nvSpPr>
        <xdr:cNvPr id="48" name="Rectangle: Rounded Corners 47">
          <a:extLst>
            <a:ext uri="{FF2B5EF4-FFF2-40B4-BE49-F238E27FC236}">
              <a16:creationId xmlns:a16="http://schemas.microsoft.com/office/drawing/2014/main" id="{F4979757-6F35-F501-59CB-8F75CD4BFF75}"/>
            </a:ext>
          </a:extLst>
        </xdr:cNvPr>
        <xdr:cNvSpPr/>
      </xdr:nvSpPr>
      <xdr:spPr>
        <a:xfrm>
          <a:off x="148441" y="1453903"/>
          <a:ext cx="2939968" cy="1816959"/>
        </a:xfrm>
        <a:prstGeom prst="roundRect">
          <a:avLst/>
        </a:prstGeom>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2091822</xdr:colOff>
      <xdr:row>7</xdr:row>
      <xdr:rowOff>142201</xdr:rowOff>
    </xdr:from>
    <xdr:to>
      <xdr:col>1</xdr:col>
      <xdr:colOff>4219930</xdr:colOff>
      <xdr:row>18</xdr:row>
      <xdr:rowOff>1</xdr:rowOff>
    </xdr:to>
    <xdr:sp macro="" textlink="">
      <xdr:nvSpPr>
        <xdr:cNvPr id="50" name="Rectangle: Rounded Corners 49">
          <a:extLst>
            <a:ext uri="{FF2B5EF4-FFF2-40B4-BE49-F238E27FC236}">
              <a16:creationId xmlns:a16="http://schemas.microsoft.com/office/drawing/2014/main" id="{BF77A354-E8CF-F340-FFE7-55E79397920E}"/>
            </a:ext>
          </a:extLst>
        </xdr:cNvPr>
        <xdr:cNvSpPr/>
      </xdr:nvSpPr>
      <xdr:spPr>
        <a:xfrm>
          <a:off x="3225751" y="1430344"/>
          <a:ext cx="2128108" cy="1853514"/>
        </a:xfrm>
        <a:prstGeom prst="roundRect">
          <a:avLst/>
        </a:prstGeom>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526143</xdr:colOff>
      <xdr:row>9</xdr:row>
      <xdr:rowOff>36285</xdr:rowOff>
    </xdr:from>
    <xdr:to>
      <xdr:col>10</xdr:col>
      <xdr:colOff>462646</xdr:colOff>
      <xdr:row>12</xdr:row>
      <xdr:rowOff>36287</xdr:rowOff>
    </xdr:to>
    <xdr:pic>
      <xdr:nvPicPr>
        <xdr:cNvPr id="57" name="Graphic 56" descr="Marker with solid fill">
          <a:extLst>
            <a:ext uri="{FF2B5EF4-FFF2-40B4-BE49-F238E27FC236}">
              <a16:creationId xmlns:a16="http://schemas.microsoft.com/office/drawing/2014/main" id="{2BB4901A-8170-A133-CDC0-E9EF1497082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07572" y="1669142"/>
          <a:ext cx="544288" cy="544288"/>
        </a:xfrm>
        <a:prstGeom prst="rect">
          <a:avLst/>
        </a:prstGeom>
      </xdr:spPr>
    </xdr:pic>
    <xdr:clientData/>
  </xdr:twoCellAnchor>
  <xdr:twoCellAnchor editAs="oneCell">
    <xdr:from>
      <xdr:col>0</xdr:col>
      <xdr:colOff>716643</xdr:colOff>
      <xdr:row>1</xdr:row>
      <xdr:rowOff>172356</xdr:rowOff>
    </xdr:from>
    <xdr:to>
      <xdr:col>1</xdr:col>
      <xdr:colOff>497114</xdr:colOff>
      <xdr:row>6</xdr:row>
      <xdr:rowOff>161471</xdr:rowOff>
    </xdr:to>
    <xdr:pic>
      <xdr:nvPicPr>
        <xdr:cNvPr id="59" name="Graphic 58" descr="Head with gears with solid fill">
          <a:extLst>
            <a:ext uri="{FF2B5EF4-FFF2-40B4-BE49-F238E27FC236}">
              <a16:creationId xmlns:a16="http://schemas.microsoft.com/office/drawing/2014/main" id="{72786893-4328-9B5A-C628-6C0931596F7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16643" y="353785"/>
          <a:ext cx="914400" cy="914400"/>
        </a:xfrm>
        <a:prstGeom prst="rect">
          <a:avLst/>
        </a:prstGeom>
      </xdr:spPr>
    </xdr:pic>
    <xdr:clientData/>
  </xdr:twoCellAnchor>
  <xdr:twoCellAnchor>
    <xdr:from>
      <xdr:col>1</xdr:col>
      <xdr:colOff>489856</xdr:colOff>
      <xdr:row>1</xdr:row>
      <xdr:rowOff>127000</xdr:rowOff>
    </xdr:from>
    <xdr:to>
      <xdr:col>1</xdr:col>
      <xdr:colOff>507999</xdr:colOff>
      <xdr:row>7</xdr:row>
      <xdr:rowOff>27214</xdr:rowOff>
    </xdr:to>
    <xdr:cxnSp macro="">
      <xdr:nvCxnSpPr>
        <xdr:cNvPr id="61" name="Straight Connector 60">
          <a:extLst>
            <a:ext uri="{FF2B5EF4-FFF2-40B4-BE49-F238E27FC236}">
              <a16:creationId xmlns:a16="http://schemas.microsoft.com/office/drawing/2014/main" id="{44CFC374-CF8B-A804-558E-2234A6D00877}"/>
            </a:ext>
          </a:extLst>
        </xdr:cNvPr>
        <xdr:cNvCxnSpPr/>
      </xdr:nvCxnSpPr>
      <xdr:spPr>
        <a:xfrm flipH="1">
          <a:off x="1623785" y="308429"/>
          <a:ext cx="18143" cy="9887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634999</xdr:colOff>
      <xdr:row>1</xdr:row>
      <xdr:rowOff>163285</xdr:rowOff>
    </xdr:from>
    <xdr:to>
      <xdr:col>1</xdr:col>
      <xdr:colOff>2757714</xdr:colOff>
      <xdr:row>7</xdr:row>
      <xdr:rowOff>36285</xdr:rowOff>
    </xdr:to>
    <xdr:sp macro="" textlink="">
      <xdr:nvSpPr>
        <xdr:cNvPr id="63" name="Rectangle 62">
          <a:extLst>
            <a:ext uri="{FF2B5EF4-FFF2-40B4-BE49-F238E27FC236}">
              <a16:creationId xmlns:a16="http://schemas.microsoft.com/office/drawing/2014/main" id="{3131EA64-633C-9C7B-5665-223B5800A932}"/>
            </a:ext>
          </a:extLst>
        </xdr:cNvPr>
        <xdr:cNvSpPr/>
      </xdr:nvSpPr>
      <xdr:spPr>
        <a:xfrm>
          <a:off x="1768928" y="344714"/>
          <a:ext cx="2122715" cy="979714"/>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AI / ML</a:t>
          </a:r>
        </a:p>
        <a:p>
          <a:pPr algn="l"/>
          <a:r>
            <a:rPr lang="en-IN" sz="1800">
              <a:solidFill>
                <a:schemeClr val="tx1"/>
              </a:solidFill>
            </a:rPr>
            <a:t>Data Science</a:t>
          </a:r>
        </a:p>
        <a:p>
          <a:pPr algn="l"/>
          <a:r>
            <a:rPr lang="en-IN" sz="1800">
              <a:solidFill>
                <a:schemeClr val="tx1"/>
              </a:solidFill>
            </a:rPr>
            <a:t>Data Analyst</a:t>
          </a:r>
        </a:p>
      </xdr:txBody>
    </xdr:sp>
    <xdr:clientData/>
  </xdr:twoCellAnchor>
  <xdr:twoCellAnchor>
    <xdr:from>
      <xdr:col>0</xdr:col>
      <xdr:colOff>226786</xdr:colOff>
      <xdr:row>19</xdr:row>
      <xdr:rowOff>18144</xdr:rowOff>
    </xdr:from>
    <xdr:to>
      <xdr:col>1</xdr:col>
      <xdr:colOff>4227285</xdr:colOff>
      <xdr:row>31</xdr:row>
      <xdr:rowOff>63501</xdr:rowOff>
    </xdr:to>
    <xdr:sp macro="" textlink="">
      <xdr:nvSpPr>
        <xdr:cNvPr id="65" name="Rectangle: Rounded Corners 64">
          <a:extLst>
            <a:ext uri="{FF2B5EF4-FFF2-40B4-BE49-F238E27FC236}">
              <a16:creationId xmlns:a16="http://schemas.microsoft.com/office/drawing/2014/main" id="{82834EBF-64B4-D9D2-E060-1A8435831154}"/>
            </a:ext>
          </a:extLst>
        </xdr:cNvPr>
        <xdr:cNvSpPr/>
      </xdr:nvSpPr>
      <xdr:spPr>
        <a:xfrm>
          <a:off x="226786" y="3483430"/>
          <a:ext cx="5134428" cy="2222500"/>
        </a:xfrm>
        <a:prstGeom prst="roundRect">
          <a:avLst/>
        </a:prstGeom>
        <a:ln>
          <a:solidFill>
            <a:schemeClr val="bg1">
              <a:lumMod val="7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145143</xdr:colOff>
      <xdr:row>32</xdr:row>
      <xdr:rowOff>81642</xdr:rowOff>
    </xdr:from>
    <xdr:to>
      <xdr:col>1</xdr:col>
      <xdr:colOff>1623785</xdr:colOff>
      <xdr:row>45</xdr:row>
      <xdr:rowOff>108856</xdr:rowOff>
    </xdr:to>
    <xdr:sp macro="" textlink="">
      <xdr:nvSpPr>
        <xdr:cNvPr id="68" name="Rectangle: Rounded Corners 67">
          <a:extLst>
            <a:ext uri="{FF2B5EF4-FFF2-40B4-BE49-F238E27FC236}">
              <a16:creationId xmlns:a16="http://schemas.microsoft.com/office/drawing/2014/main" id="{DC86EE0E-C9CA-16C5-DF6E-79EB38BDB3EB}"/>
            </a:ext>
          </a:extLst>
        </xdr:cNvPr>
        <xdr:cNvSpPr/>
      </xdr:nvSpPr>
      <xdr:spPr>
        <a:xfrm>
          <a:off x="145143" y="5905499"/>
          <a:ext cx="2612571" cy="2385786"/>
        </a:xfrm>
        <a:prstGeom prst="roundRect">
          <a:avLst/>
        </a:prstGeom>
        <a:ln>
          <a:solidFill>
            <a:schemeClr val="bg1">
              <a:lumMod val="7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1741715</xdr:colOff>
      <xdr:row>32</xdr:row>
      <xdr:rowOff>90714</xdr:rowOff>
    </xdr:from>
    <xdr:to>
      <xdr:col>1</xdr:col>
      <xdr:colOff>4263571</xdr:colOff>
      <xdr:row>45</xdr:row>
      <xdr:rowOff>117928</xdr:rowOff>
    </xdr:to>
    <xdr:sp macro="" textlink="">
      <xdr:nvSpPr>
        <xdr:cNvPr id="69" name="Rectangle: Rounded Corners 68">
          <a:extLst>
            <a:ext uri="{FF2B5EF4-FFF2-40B4-BE49-F238E27FC236}">
              <a16:creationId xmlns:a16="http://schemas.microsoft.com/office/drawing/2014/main" id="{D0022F95-F005-4FB8-A816-4DCC81C8D367}"/>
            </a:ext>
          </a:extLst>
        </xdr:cNvPr>
        <xdr:cNvSpPr/>
      </xdr:nvSpPr>
      <xdr:spPr>
        <a:xfrm>
          <a:off x="2875644" y="5914571"/>
          <a:ext cx="2521856" cy="2385786"/>
        </a:xfrm>
        <a:prstGeom prst="roundRect">
          <a:avLst/>
        </a:prstGeom>
        <a:ln>
          <a:solidFill>
            <a:schemeClr val="bg1">
              <a:lumMod val="7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317499</xdr:colOff>
      <xdr:row>47</xdr:row>
      <xdr:rowOff>54428</xdr:rowOff>
    </xdr:from>
    <xdr:to>
      <xdr:col>1</xdr:col>
      <xdr:colOff>4154713</xdr:colOff>
      <xdr:row>62</xdr:row>
      <xdr:rowOff>136072</xdr:rowOff>
    </xdr:to>
    <xdr:sp macro="" textlink="">
      <xdr:nvSpPr>
        <xdr:cNvPr id="72" name="Rectangle: Rounded Corners 71">
          <a:extLst>
            <a:ext uri="{FF2B5EF4-FFF2-40B4-BE49-F238E27FC236}">
              <a16:creationId xmlns:a16="http://schemas.microsoft.com/office/drawing/2014/main" id="{372C8E13-C5CA-263D-995D-95B89F8210F0}"/>
            </a:ext>
          </a:extLst>
        </xdr:cNvPr>
        <xdr:cNvSpPr/>
      </xdr:nvSpPr>
      <xdr:spPr>
        <a:xfrm>
          <a:off x="317499" y="8604249"/>
          <a:ext cx="4971143" cy="2803073"/>
        </a:xfrm>
        <a:prstGeom prst="roundRect">
          <a:avLst/>
        </a:prstGeom>
        <a:ln>
          <a:solidFill>
            <a:schemeClr val="bg1">
              <a:lumMod val="7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645949</xdr:colOff>
      <xdr:row>19</xdr:row>
      <xdr:rowOff>10949</xdr:rowOff>
    </xdr:from>
    <xdr:to>
      <xdr:col>7</xdr:col>
      <xdr:colOff>98536</xdr:colOff>
      <xdr:row>38</xdr:row>
      <xdr:rowOff>76638</xdr:rowOff>
    </xdr:to>
    <xdr:graphicFrame macro="">
      <xdr:nvGraphicFramePr>
        <xdr:cNvPr id="83" name="Chart 82">
          <a:extLst>
            <a:ext uri="{FF2B5EF4-FFF2-40B4-BE49-F238E27FC236}">
              <a16:creationId xmlns:a16="http://schemas.microsoft.com/office/drawing/2014/main" id="{35CFEBD5-E9ED-47D0-A7FB-E208227BA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529167</xdr:colOff>
      <xdr:row>49</xdr:row>
      <xdr:rowOff>71969</xdr:rowOff>
    </xdr:from>
    <xdr:to>
      <xdr:col>1</xdr:col>
      <xdr:colOff>3951111</xdr:colOff>
      <xdr:row>60</xdr:row>
      <xdr:rowOff>141113</xdr:rowOff>
    </xdr:to>
    <mc:AlternateContent xmlns:mc="http://schemas.openxmlformats.org/markup-compatibility/2006" xmlns:a14="http://schemas.microsoft.com/office/drawing/2010/main">
      <mc:Choice Requires="a14">
        <xdr:graphicFrame macro="">
          <xdr:nvGraphicFramePr>
            <xdr:cNvPr id="84" name="Education">
              <a:extLst>
                <a:ext uri="{FF2B5EF4-FFF2-40B4-BE49-F238E27FC236}">
                  <a16:creationId xmlns:a16="http://schemas.microsoft.com/office/drawing/2014/main" id="{21B709C4-5DB7-9F44-33A4-C1505FA8C0C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167" y="9147177"/>
              <a:ext cx="4559652" cy="2106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1974453</xdr:colOff>
      <xdr:row>33</xdr:row>
      <xdr:rowOff>148828</xdr:rowOff>
    </xdr:from>
    <xdr:to>
      <xdr:col>1</xdr:col>
      <xdr:colOff>4039304</xdr:colOff>
      <xdr:row>44</xdr:row>
      <xdr:rowOff>29766</xdr:rowOff>
    </xdr:to>
    <mc:AlternateContent xmlns:mc="http://schemas.openxmlformats.org/markup-compatibility/2006" xmlns:a14="http://schemas.microsoft.com/office/drawing/2010/main">
      <mc:Choice Requires="a14">
        <xdr:graphicFrame macro="">
          <xdr:nvGraphicFramePr>
            <xdr:cNvPr id="85" name="Gender">
              <a:extLst>
                <a:ext uri="{FF2B5EF4-FFF2-40B4-BE49-F238E27FC236}">
                  <a16:creationId xmlns:a16="http://schemas.microsoft.com/office/drawing/2014/main" id="{96352993-CEDF-8E01-23F2-BEE6F53B41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12161" y="6260703"/>
              <a:ext cx="2064851" cy="1918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352777</xdr:colOff>
      <xdr:row>34</xdr:row>
      <xdr:rowOff>60679</xdr:rowOff>
    </xdr:from>
    <xdr:to>
      <xdr:col>1</xdr:col>
      <xdr:colOff>1481666</xdr:colOff>
      <xdr:row>43</xdr:row>
      <xdr:rowOff>141112</xdr:rowOff>
    </xdr:to>
    <mc:AlternateContent xmlns:mc="http://schemas.openxmlformats.org/markup-compatibility/2006" xmlns:a14="http://schemas.microsoft.com/office/drawing/2010/main">
      <mc:Choice Requires="a14">
        <xdr:graphicFrame macro="">
          <xdr:nvGraphicFramePr>
            <xdr:cNvPr id="86" name="Company Type 1">
              <a:extLst>
                <a:ext uri="{FF2B5EF4-FFF2-40B4-BE49-F238E27FC236}">
                  <a16:creationId xmlns:a16="http://schemas.microsoft.com/office/drawing/2014/main" id="{35527185-B30B-F9A6-E4F1-6585ADF9F46A}"/>
                </a:ext>
              </a:extLst>
            </xdr:cNvPr>
            <xdr:cNvGraphicFramePr/>
          </xdr:nvGraphicFramePr>
          <xdr:xfrm>
            <a:off x="0" y="0"/>
            <a:ext cx="0" cy="0"/>
          </xdr:xfrm>
          <a:graphic>
            <a:graphicData uri="http://schemas.microsoft.com/office/drawing/2010/slicer">
              <sle:slicer xmlns:sle="http://schemas.microsoft.com/office/drawing/2010/slicer" name="Company Type 1"/>
            </a:graphicData>
          </a:graphic>
        </xdr:graphicFrame>
      </mc:Choice>
      <mc:Fallback xmlns="">
        <xdr:sp macro="" textlink="">
          <xdr:nvSpPr>
            <xdr:cNvPr id="0" name=""/>
            <xdr:cNvSpPr>
              <a:spLocks noTextEdit="1"/>
            </xdr:cNvSpPr>
          </xdr:nvSpPr>
          <xdr:spPr>
            <a:xfrm>
              <a:off x="352777" y="6357762"/>
              <a:ext cx="2266597" cy="1747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486173</xdr:colOff>
      <xdr:row>19</xdr:row>
      <xdr:rowOff>168628</xdr:rowOff>
    </xdr:from>
    <xdr:to>
      <xdr:col>1</xdr:col>
      <xdr:colOff>3998515</xdr:colOff>
      <xdr:row>30</xdr:row>
      <xdr:rowOff>88195</xdr:rowOff>
    </xdr:to>
    <mc:AlternateContent xmlns:mc="http://schemas.openxmlformats.org/markup-compatibility/2006" xmlns:a14="http://schemas.microsoft.com/office/drawing/2010/main">
      <mc:Choice Requires="a14">
        <xdr:graphicFrame macro="">
          <xdr:nvGraphicFramePr>
            <xdr:cNvPr id="87" name="City">
              <a:extLst>
                <a:ext uri="{FF2B5EF4-FFF2-40B4-BE49-F238E27FC236}">
                  <a16:creationId xmlns:a16="http://schemas.microsoft.com/office/drawing/2014/main" id="{13861472-5A88-6B30-9F39-F5AE0194A6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86173" y="3687586"/>
              <a:ext cx="4650050" cy="1956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2232421</xdr:colOff>
      <xdr:row>8</xdr:row>
      <xdr:rowOff>175411</xdr:rowOff>
    </xdr:from>
    <xdr:to>
      <xdr:col>1</xdr:col>
      <xdr:colOff>4089308</xdr:colOff>
      <xdr:row>17</xdr:row>
      <xdr:rowOff>9922</xdr:rowOff>
    </xdr:to>
    <mc:AlternateContent xmlns:mc="http://schemas.openxmlformats.org/markup-compatibility/2006" xmlns:a14="http://schemas.microsoft.com/office/drawing/2010/main">
      <mc:Choice Requires="a14">
        <xdr:graphicFrame macro="">
          <xdr:nvGraphicFramePr>
            <xdr:cNvPr id="88" name="Experience Level 1">
              <a:extLst>
                <a:ext uri="{FF2B5EF4-FFF2-40B4-BE49-F238E27FC236}">
                  <a16:creationId xmlns:a16="http://schemas.microsoft.com/office/drawing/2014/main" id="{31B52526-2F26-F1A1-31C1-FA76C5611E85}"/>
                </a:ext>
              </a:extLst>
            </xdr:cNvPr>
            <xdr:cNvGraphicFramePr/>
          </xdr:nvGraphicFramePr>
          <xdr:xfrm>
            <a:off x="0" y="0"/>
            <a:ext cx="0" cy="0"/>
          </xdr:xfrm>
          <a:graphic>
            <a:graphicData uri="http://schemas.microsoft.com/office/drawing/2010/slicer">
              <sle:slicer xmlns:sle="http://schemas.microsoft.com/office/drawing/2010/slicer" name="Experience Level 1"/>
            </a:graphicData>
          </a:graphic>
        </xdr:graphicFrame>
      </mc:Choice>
      <mc:Fallback xmlns="">
        <xdr:sp macro="" textlink="">
          <xdr:nvSpPr>
            <xdr:cNvPr id="0" name=""/>
            <xdr:cNvSpPr>
              <a:spLocks noTextEdit="1"/>
            </xdr:cNvSpPr>
          </xdr:nvSpPr>
          <xdr:spPr>
            <a:xfrm>
              <a:off x="3370129" y="1657078"/>
              <a:ext cx="1856887" cy="1501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327423</xdr:colOff>
      <xdr:row>8</xdr:row>
      <xdr:rowOff>148828</xdr:rowOff>
    </xdr:from>
    <xdr:to>
      <xdr:col>1</xdr:col>
      <xdr:colOff>1746251</xdr:colOff>
      <xdr:row>17</xdr:row>
      <xdr:rowOff>19844</xdr:rowOff>
    </xdr:to>
    <mc:AlternateContent xmlns:mc="http://schemas.openxmlformats.org/markup-compatibility/2006" xmlns:a14="http://schemas.microsoft.com/office/drawing/2010/main">
      <mc:Choice Requires="a14">
        <xdr:graphicFrame macro="">
          <xdr:nvGraphicFramePr>
            <xdr:cNvPr id="89" name="Generic Role">
              <a:extLst>
                <a:ext uri="{FF2B5EF4-FFF2-40B4-BE49-F238E27FC236}">
                  <a16:creationId xmlns:a16="http://schemas.microsoft.com/office/drawing/2014/main" id="{30DD8A6B-5A1C-7C32-96FB-BBAA1B784D60}"/>
                </a:ext>
              </a:extLst>
            </xdr:cNvPr>
            <xdr:cNvGraphicFramePr/>
          </xdr:nvGraphicFramePr>
          <xdr:xfrm>
            <a:off x="0" y="0"/>
            <a:ext cx="0" cy="0"/>
          </xdr:xfrm>
          <a:graphic>
            <a:graphicData uri="http://schemas.microsoft.com/office/drawing/2010/slicer">
              <sle:slicer xmlns:sle="http://schemas.microsoft.com/office/drawing/2010/slicer" name="Generic Role"/>
            </a:graphicData>
          </a:graphic>
        </xdr:graphicFrame>
      </mc:Choice>
      <mc:Fallback xmlns="">
        <xdr:sp macro="" textlink="">
          <xdr:nvSpPr>
            <xdr:cNvPr id="0" name=""/>
            <xdr:cNvSpPr>
              <a:spLocks noTextEdit="1"/>
            </xdr:cNvSpPr>
          </xdr:nvSpPr>
          <xdr:spPr>
            <a:xfrm>
              <a:off x="327423" y="1630495"/>
              <a:ext cx="2556536" cy="1537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471488</xdr:colOff>
      <xdr:row>1</xdr:row>
      <xdr:rowOff>107950</xdr:rowOff>
    </xdr:from>
    <xdr:to>
      <xdr:col>11</xdr:col>
      <xdr:colOff>9525</xdr:colOff>
      <xdr:row>16</xdr:row>
      <xdr:rowOff>88900</xdr:rowOff>
    </xdr:to>
    <xdr:graphicFrame macro="">
      <xdr:nvGraphicFramePr>
        <xdr:cNvPr id="2" name="Chart 1">
          <a:extLst>
            <a:ext uri="{FF2B5EF4-FFF2-40B4-BE49-F238E27FC236}">
              <a16:creationId xmlns:a16="http://schemas.microsoft.com/office/drawing/2014/main" id="{EE177CF0-3EDF-8498-D941-91E405EA9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532365</xdr:colOff>
      <xdr:row>9</xdr:row>
      <xdr:rowOff>66970</xdr:rowOff>
    </xdr:from>
    <xdr:to>
      <xdr:col>8</xdr:col>
      <xdr:colOff>551415</xdr:colOff>
      <xdr:row>24</xdr:row>
      <xdr:rowOff>47920</xdr:rowOff>
    </xdr:to>
    <xdr:graphicFrame macro="">
      <xdr:nvGraphicFramePr>
        <xdr:cNvPr id="3" name="Chart 2">
          <a:extLst>
            <a:ext uri="{FF2B5EF4-FFF2-40B4-BE49-F238E27FC236}">
              <a16:creationId xmlns:a16="http://schemas.microsoft.com/office/drawing/2014/main" id="{C7674D63-5F53-F1A7-1B0F-2D29D9EC0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654050</xdr:colOff>
      <xdr:row>5</xdr:row>
      <xdr:rowOff>130175</xdr:rowOff>
    </xdr:from>
    <xdr:to>
      <xdr:col>11</xdr:col>
      <xdr:colOff>349250</xdr:colOff>
      <xdr:row>20</xdr:row>
      <xdr:rowOff>177800</xdr:rowOff>
    </xdr:to>
    <xdr:graphicFrame macro="">
      <xdr:nvGraphicFramePr>
        <xdr:cNvPr id="3" name="Chart 2">
          <a:extLst>
            <a:ext uri="{FF2B5EF4-FFF2-40B4-BE49-F238E27FC236}">
              <a16:creationId xmlns:a16="http://schemas.microsoft.com/office/drawing/2014/main" id="{7417569B-A306-1B90-4361-44BD2C1A8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60270</xdr:colOff>
      <xdr:row>6</xdr:row>
      <xdr:rowOff>140560</xdr:rowOff>
    </xdr:from>
    <xdr:to>
      <xdr:col>14</xdr:col>
      <xdr:colOff>484323</xdr:colOff>
      <xdr:row>26</xdr:row>
      <xdr:rowOff>86101</xdr:rowOff>
    </xdr:to>
    <xdr:graphicFrame macro="">
      <xdr:nvGraphicFramePr>
        <xdr:cNvPr id="4" name="Chart 3">
          <a:extLst>
            <a:ext uri="{FF2B5EF4-FFF2-40B4-BE49-F238E27FC236}">
              <a16:creationId xmlns:a16="http://schemas.microsoft.com/office/drawing/2014/main" id="{61792B24-3315-9196-422B-6598C4023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171450</xdr:colOff>
      <xdr:row>0</xdr:row>
      <xdr:rowOff>79375</xdr:rowOff>
    </xdr:from>
    <xdr:to>
      <xdr:col>10</xdr:col>
      <xdr:colOff>476250</xdr:colOff>
      <xdr:row>15</xdr:row>
      <xdr:rowOff>60325</xdr:rowOff>
    </xdr:to>
    <xdr:graphicFrame macro="">
      <xdr:nvGraphicFramePr>
        <xdr:cNvPr id="2" name="Chart 1">
          <a:extLst>
            <a:ext uri="{FF2B5EF4-FFF2-40B4-BE49-F238E27FC236}">
              <a16:creationId xmlns:a16="http://schemas.microsoft.com/office/drawing/2014/main" id="{932A219C-5084-9770-07E5-353FD104B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177800</xdr:colOff>
      <xdr:row>2</xdr:row>
      <xdr:rowOff>9525</xdr:rowOff>
    </xdr:from>
    <xdr:to>
      <xdr:col>9</xdr:col>
      <xdr:colOff>177800</xdr:colOff>
      <xdr:row>16</xdr:row>
      <xdr:rowOff>174625</xdr:rowOff>
    </xdr:to>
    <xdr:graphicFrame macro="">
      <xdr:nvGraphicFramePr>
        <xdr:cNvPr id="4" name="Chart 3">
          <a:extLst>
            <a:ext uri="{FF2B5EF4-FFF2-40B4-BE49-F238E27FC236}">
              <a16:creationId xmlns:a16="http://schemas.microsoft.com/office/drawing/2014/main" id="{86C69271-FFF1-0D17-65AF-C3190BFA2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60326</xdr:colOff>
      <xdr:row>0</xdr:row>
      <xdr:rowOff>161925</xdr:rowOff>
    </xdr:from>
    <xdr:to>
      <xdr:col>10</xdr:col>
      <xdr:colOff>176388</xdr:colOff>
      <xdr:row>15</xdr:row>
      <xdr:rowOff>142875</xdr:rowOff>
    </xdr:to>
    <xdr:graphicFrame macro="">
      <xdr:nvGraphicFramePr>
        <xdr:cNvPr id="2" name="Chart 1">
          <a:extLst>
            <a:ext uri="{FF2B5EF4-FFF2-40B4-BE49-F238E27FC236}">
              <a16:creationId xmlns:a16="http://schemas.microsoft.com/office/drawing/2014/main" id="{1C3EA6A6-4269-9D19-1515-72C0BE394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82550</xdr:colOff>
      <xdr:row>1</xdr:row>
      <xdr:rowOff>123825</xdr:rowOff>
    </xdr:from>
    <xdr:to>
      <xdr:col>10</xdr:col>
      <xdr:colOff>387350</xdr:colOff>
      <xdr:row>16</xdr:row>
      <xdr:rowOff>104775</xdr:rowOff>
    </xdr:to>
    <xdr:graphicFrame macro="">
      <xdr:nvGraphicFramePr>
        <xdr:cNvPr id="3" name="Chart 2">
          <a:extLst>
            <a:ext uri="{FF2B5EF4-FFF2-40B4-BE49-F238E27FC236}">
              <a16:creationId xmlns:a16="http://schemas.microsoft.com/office/drawing/2014/main" id="{E944419C-11C7-3E30-E563-F7C99994D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698500</xdr:colOff>
      <xdr:row>2</xdr:row>
      <xdr:rowOff>130175</xdr:rowOff>
    </xdr:from>
    <xdr:to>
      <xdr:col>12</xdr:col>
      <xdr:colOff>311150</xdr:colOff>
      <xdr:row>17</xdr:row>
      <xdr:rowOff>111125</xdr:rowOff>
    </xdr:to>
    <xdr:graphicFrame macro="">
      <xdr:nvGraphicFramePr>
        <xdr:cNvPr id="4" name="Chart 3">
          <a:extLst>
            <a:ext uri="{FF2B5EF4-FFF2-40B4-BE49-F238E27FC236}">
              <a16:creationId xmlns:a16="http://schemas.microsoft.com/office/drawing/2014/main" id="{6A299A36-7F7F-C6F1-10EF-53FE72596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Gharal" refreshedDate="45893.882600925928" createdVersion="8" refreshedVersion="8" minRefreshableVersion="3" recordCount="1000" xr:uid="{4B973DE0-0E43-411D-A603-15CE8F5B1C32}">
  <cacheSource type="worksheet">
    <worksheetSource ref="A1:I1001" sheet="TechSalaryDataset"/>
  </cacheSource>
  <cacheFields count="9">
    <cacheField name="Job Role" numFmtId="0">
      <sharedItems/>
    </cacheField>
    <cacheField name="Experience Level" numFmtId="0">
      <sharedItems count="3">
        <s v="Entry-Level"/>
        <s v="Senior-Level"/>
        <s v="Mid-Level"/>
      </sharedItems>
    </cacheField>
    <cacheField name="Gender" numFmtId="0">
      <sharedItems count="2">
        <s v="Female"/>
        <s v="Male"/>
      </sharedItems>
    </cacheField>
    <cacheField name="City" numFmtId="0">
      <sharedItems count="9">
        <s v="Gurgaon"/>
        <s v="Noida"/>
        <s v="Chennai"/>
        <s v="Kolkata"/>
        <s v="Bangalore"/>
        <s v="Pune"/>
        <s v="Delhi"/>
        <s v="Hyderabad"/>
        <s v="Mumbai"/>
      </sharedItems>
    </cacheField>
    <cacheField name="Education" numFmtId="0">
      <sharedItems/>
    </cacheField>
    <cacheField name="Company Type" numFmtId="0">
      <sharedItems count="4">
        <s v="Consultancy"/>
        <s v="Government"/>
        <s v="Startup"/>
        <s v="MNC"/>
      </sharedItems>
    </cacheField>
    <cacheField name="Salary (CTC INR)" numFmtId="0">
      <sharedItems containsSemiMixedTypes="0" containsString="0" containsNumber="1" containsInteger="1" minValue="328937" maxValue="6966415"/>
    </cacheField>
    <cacheField name="Salary (Take-Home INR)" numFmtId="0">
      <sharedItems containsSemiMixedTypes="0" containsString="0" containsNumber="1" containsInteger="1" minValue="245421" maxValue="5545447"/>
    </cacheField>
    <cacheField name="Generic Role" numFmtId="0">
      <sharedItems count="3">
        <s v="Data Analyst"/>
        <s v="AI/ML"/>
        <s v="Data Scientist"/>
      </sharedItems>
    </cacheField>
  </cacheFields>
  <extLst>
    <ext xmlns:x14="http://schemas.microsoft.com/office/spreadsheetml/2009/9/main" uri="{725AE2AE-9491-48be-B2B4-4EB974FC3084}">
      <x14:pivotCacheDefinition pivotCacheId="1626642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Gharal" refreshedDate="45894.04572696759" createdVersion="8" refreshedVersion="8" minRefreshableVersion="3" recordCount="1000" xr:uid="{4B877A7A-BCC0-46B3-9C32-476974AC1A8D}">
  <cacheSource type="worksheet">
    <worksheetSource ref="A1:J1001" sheet="TechSalaryDataset"/>
  </cacheSource>
  <cacheFields count="10">
    <cacheField name="Job Role" numFmtId="0">
      <sharedItems/>
    </cacheField>
    <cacheField name="Experience Level" numFmtId="0">
      <sharedItems count="3">
        <s v="Entry-Level"/>
        <s v="Senior-Level"/>
        <s v="Mid-Level"/>
      </sharedItems>
    </cacheField>
    <cacheField name="Gender" numFmtId="0">
      <sharedItems count="2">
        <s v="Female"/>
        <s v="Male"/>
      </sharedItems>
    </cacheField>
    <cacheField name="City" numFmtId="0">
      <sharedItems count="9">
        <s v="Gurgaon"/>
        <s v="Noida"/>
        <s v="Chennai"/>
        <s v="Kolkata"/>
        <s v="Bangalore"/>
        <s v="Pune"/>
        <s v="Delhi"/>
        <s v="Hyderabad"/>
        <s v="Mumbai"/>
      </sharedItems>
    </cacheField>
    <cacheField name="Education" numFmtId="0">
      <sharedItems count="7">
        <s v="M.Tech"/>
        <s v="BCA"/>
        <s v="M.Sc"/>
        <s v="PhD"/>
        <s v="B.Sc"/>
        <s v="B.Tech"/>
        <s v="MCA"/>
      </sharedItems>
    </cacheField>
    <cacheField name="Company Type" numFmtId="0">
      <sharedItems count="4">
        <s v="Consultancy"/>
        <s v="Government"/>
        <s v="Startup"/>
        <s v="MNC"/>
      </sharedItems>
    </cacheField>
    <cacheField name="Salary (CTC INR)" numFmtId="164">
      <sharedItems containsSemiMixedTypes="0" containsString="0" containsNumber="1" containsInteger="1" minValue="328937" maxValue="6966415"/>
    </cacheField>
    <cacheField name="Salary (Take-Home INR)" numFmtId="164">
      <sharedItems containsSemiMixedTypes="0" containsString="0" containsNumber="1" containsInteger="1" minValue="245421" maxValue="5545447"/>
    </cacheField>
    <cacheField name="Generic Role" numFmtId="0">
      <sharedItems count="3">
        <s v="Data Analyst"/>
        <s v="AI/ML"/>
        <s v="Data Scientist"/>
      </sharedItems>
    </cacheField>
    <cacheField name="Salary Per Month" numFmtId="164">
      <sharedItems containsSemiMixedTypes="0" containsString="0" containsNumber="1" minValue="20451.75" maxValue="462120.58333333331"/>
    </cacheField>
  </cacheFields>
  <extLst>
    <ext xmlns:x14="http://schemas.microsoft.com/office/spreadsheetml/2009/9/main" uri="{725AE2AE-9491-48be-B2B4-4EB974FC3084}">
      <x14:pivotCacheDefinition pivotCacheId="73760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Data Analyst"/>
    <x v="0"/>
    <x v="0"/>
    <x v="0"/>
    <s v="M.Tech"/>
    <x v="0"/>
    <n v="541335"/>
    <n v="395337"/>
    <x v="0"/>
  </r>
  <r>
    <s v="AI Researcher"/>
    <x v="1"/>
    <x v="1"/>
    <x v="0"/>
    <s v="BCA"/>
    <x v="0"/>
    <n v="6589066"/>
    <n v="4896030"/>
    <x v="1"/>
  </r>
  <r>
    <s v="Data Scientist"/>
    <x v="2"/>
    <x v="0"/>
    <x v="1"/>
    <s v="M.Sc"/>
    <x v="1"/>
    <n v="1557179"/>
    <n v="1254251"/>
    <x v="2"/>
  </r>
  <r>
    <s v="Data Scientist"/>
    <x v="2"/>
    <x v="1"/>
    <x v="2"/>
    <s v="M.Sc"/>
    <x v="1"/>
    <n v="2031870"/>
    <n v="1658608"/>
    <x v="2"/>
  </r>
  <r>
    <s v="Big Data Engineer"/>
    <x v="2"/>
    <x v="0"/>
    <x v="2"/>
    <s v="PhD"/>
    <x v="2"/>
    <n v="2295316"/>
    <n v="1723387"/>
    <x v="2"/>
  </r>
  <r>
    <s v="Analytics Consultant"/>
    <x v="2"/>
    <x v="1"/>
    <x v="3"/>
    <s v="M.Sc"/>
    <x v="0"/>
    <n v="2349141"/>
    <n v="1925185"/>
    <x v="0"/>
  </r>
  <r>
    <s v="Big Data Engineer"/>
    <x v="0"/>
    <x v="1"/>
    <x v="2"/>
    <s v="BCA"/>
    <x v="2"/>
    <n v="1048792"/>
    <n v="739298"/>
    <x v="2"/>
  </r>
  <r>
    <s v="Data Analyst"/>
    <x v="1"/>
    <x v="0"/>
    <x v="4"/>
    <s v="B.Sc"/>
    <x v="0"/>
    <n v="1927394"/>
    <n v="1502236"/>
    <x v="0"/>
  </r>
  <r>
    <s v="Data Analyst"/>
    <x v="0"/>
    <x v="0"/>
    <x v="4"/>
    <s v="B.Tech"/>
    <x v="0"/>
    <n v="782641"/>
    <n v="549575"/>
    <x v="0"/>
  </r>
  <r>
    <s v="AI/ML Engineer"/>
    <x v="1"/>
    <x v="1"/>
    <x v="1"/>
    <s v="MCA"/>
    <x v="3"/>
    <n v="5176803"/>
    <n v="4062955"/>
    <x v="1"/>
  </r>
  <r>
    <s v="Big Data Engineer"/>
    <x v="1"/>
    <x v="0"/>
    <x v="5"/>
    <s v="MCA"/>
    <x v="3"/>
    <n v="3043155"/>
    <n v="2469327"/>
    <x v="2"/>
  </r>
  <r>
    <s v="Data Scientist"/>
    <x v="0"/>
    <x v="0"/>
    <x v="6"/>
    <s v="M.Tech"/>
    <x v="1"/>
    <n v="913039"/>
    <n v="705708"/>
    <x v="2"/>
  </r>
  <r>
    <s v="AI Researcher"/>
    <x v="0"/>
    <x v="1"/>
    <x v="0"/>
    <s v="M.Tech"/>
    <x v="2"/>
    <n v="1149073"/>
    <n v="825363"/>
    <x v="1"/>
  </r>
  <r>
    <s v="Big Data Engineer"/>
    <x v="0"/>
    <x v="1"/>
    <x v="7"/>
    <s v="B.Tech"/>
    <x v="0"/>
    <n v="1199520"/>
    <n v="889105"/>
    <x v="2"/>
  </r>
  <r>
    <s v="Data Scientist"/>
    <x v="1"/>
    <x v="0"/>
    <x v="2"/>
    <s v="B.Tech"/>
    <x v="2"/>
    <n v="3038758"/>
    <n v="2423664"/>
    <x v="2"/>
  </r>
  <r>
    <s v="Data Scientist"/>
    <x v="1"/>
    <x v="0"/>
    <x v="2"/>
    <s v="M.Sc"/>
    <x v="2"/>
    <n v="4732422"/>
    <n v="3762954"/>
    <x v="2"/>
  </r>
  <r>
    <s v="Data Scientist"/>
    <x v="1"/>
    <x v="1"/>
    <x v="5"/>
    <s v="M.Tech"/>
    <x v="0"/>
    <n v="4417372"/>
    <n v="3561103"/>
    <x v="2"/>
  </r>
  <r>
    <s v="Analytics Consultant"/>
    <x v="2"/>
    <x v="0"/>
    <x v="4"/>
    <s v="M.Tech"/>
    <x v="2"/>
    <n v="1646385"/>
    <n v="1337286"/>
    <x v="0"/>
  </r>
  <r>
    <s v="AI Researcher"/>
    <x v="2"/>
    <x v="0"/>
    <x v="8"/>
    <s v="B.Sc"/>
    <x v="2"/>
    <n v="1870897"/>
    <n v="1497880"/>
    <x v="1"/>
  </r>
  <r>
    <s v="Data Analyst"/>
    <x v="1"/>
    <x v="1"/>
    <x v="1"/>
    <s v="PhD"/>
    <x v="3"/>
    <n v="2823610"/>
    <n v="2192937"/>
    <x v="0"/>
  </r>
  <r>
    <s v="Big Data Engineer"/>
    <x v="2"/>
    <x v="0"/>
    <x v="5"/>
    <s v="M.Sc"/>
    <x v="1"/>
    <n v="1822472"/>
    <n v="1447302"/>
    <x v="2"/>
  </r>
  <r>
    <s v="Big Data Engineer"/>
    <x v="1"/>
    <x v="0"/>
    <x v="8"/>
    <s v="M.Sc"/>
    <x v="0"/>
    <n v="4597218"/>
    <n v="3346087"/>
    <x v="2"/>
  </r>
  <r>
    <s v="Analytics Consultant"/>
    <x v="0"/>
    <x v="1"/>
    <x v="1"/>
    <s v="B.Sc"/>
    <x v="2"/>
    <n v="701146"/>
    <n v="551232"/>
    <x v="0"/>
  </r>
  <r>
    <s v="Analytics Consultant"/>
    <x v="0"/>
    <x v="1"/>
    <x v="7"/>
    <s v="BCA"/>
    <x v="2"/>
    <n v="792033"/>
    <n v="623704"/>
    <x v="0"/>
  </r>
  <r>
    <s v="AI/ML Engineer"/>
    <x v="1"/>
    <x v="0"/>
    <x v="4"/>
    <s v="BCA"/>
    <x v="3"/>
    <n v="4938490"/>
    <n v="3927284"/>
    <x v="1"/>
  </r>
  <r>
    <s v="Analytics Consultant"/>
    <x v="2"/>
    <x v="0"/>
    <x v="0"/>
    <s v="BCA"/>
    <x v="2"/>
    <n v="1788480"/>
    <n v="1353966"/>
    <x v="0"/>
  </r>
  <r>
    <s v="Big Data Engineer"/>
    <x v="2"/>
    <x v="1"/>
    <x v="4"/>
    <s v="M.Sc"/>
    <x v="0"/>
    <n v="2021805"/>
    <n v="1615172"/>
    <x v="2"/>
  </r>
  <r>
    <s v="Data Scientist"/>
    <x v="0"/>
    <x v="0"/>
    <x v="7"/>
    <s v="B.Sc"/>
    <x v="0"/>
    <n v="964572"/>
    <n v="744553"/>
    <x v="2"/>
  </r>
  <r>
    <s v="AI Researcher"/>
    <x v="1"/>
    <x v="0"/>
    <x v="6"/>
    <s v="MCA"/>
    <x v="3"/>
    <n v="4670776"/>
    <n v="3565138"/>
    <x v="1"/>
  </r>
  <r>
    <s v="Analytics Consultant"/>
    <x v="0"/>
    <x v="1"/>
    <x v="8"/>
    <s v="MCA"/>
    <x v="3"/>
    <n v="522076"/>
    <n v="396454"/>
    <x v="0"/>
  </r>
  <r>
    <s v="Data Analyst"/>
    <x v="1"/>
    <x v="1"/>
    <x v="8"/>
    <s v="MCA"/>
    <x v="1"/>
    <n v="1877762"/>
    <n v="1329072"/>
    <x v="0"/>
  </r>
  <r>
    <s v="Data Scientist"/>
    <x v="1"/>
    <x v="1"/>
    <x v="2"/>
    <s v="B.Tech"/>
    <x v="1"/>
    <n v="2586200"/>
    <n v="2076008"/>
    <x v="2"/>
  </r>
  <r>
    <s v="Data Analyst"/>
    <x v="1"/>
    <x v="0"/>
    <x v="3"/>
    <s v="M.Tech"/>
    <x v="0"/>
    <n v="3371027"/>
    <n v="2422438"/>
    <x v="0"/>
  </r>
  <r>
    <s v="Big Data Engineer"/>
    <x v="1"/>
    <x v="1"/>
    <x v="6"/>
    <s v="BCA"/>
    <x v="3"/>
    <n v="4595401"/>
    <n v="3526494"/>
    <x v="2"/>
  </r>
  <r>
    <s v="Analytics Consultant"/>
    <x v="1"/>
    <x v="1"/>
    <x v="0"/>
    <s v="MCA"/>
    <x v="1"/>
    <n v="3699077"/>
    <n v="2972021"/>
    <x v="0"/>
  </r>
  <r>
    <s v="Data Analyst"/>
    <x v="2"/>
    <x v="0"/>
    <x v="3"/>
    <s v="BCA"/>
    <x v="3"/>
    <n v="811254"/>
    <n v="613076"/>
    <x v="0"/>
  </r>
  <r>
    <s v="AI Researcher"/>
    <x v="0"/>
    <x v="0"/>
    <x v="0"/>
    <s v="PhD"/>
    <x v="0"/>
    <n v="797423"/>
    <n v="560636"/>
    <x v="1"/>
  </r>
  <r>
    <s v="Data Scientist"/>
    <x v="2"/>
    <x v="0"/>
    <x v="1"/>
    <s v="BCA"/>
    <x v="0"/>
    <n v="1368029"/>
    <n v="992691"/>
    <x v="2"/>
  </r>
  <r>
    <s v="AI Researcher"/>
    <x v="1"/>
    <x v="0"/>
    <x v="8"/>
    <s v="BCA"/>
    <x v="0"/>
    <n v="3953040"/>
    <n v="2879740"/>
    <x v="1"/>
  </r>
  <r>
    <s v="Analytics Consultant"/>
    <x v="1"/>
    <x v="0"/>
    <x v="5"/>
    <s v="M.Tech"/>
    <x v="3"/>
    <n v="3998719"/>
    <n v="3243852"/>
    <x v="0"/>
  </r>
  <r>
    <s v="AI/ML Engineer"/>
    <x v="2"/>
    <x v="1"/>
    <x v="2"/>
    <s v="PhD"/>
    <x v="0"/>
    <n v="2567318"/>
    <n v="1951332"/>
    <x v="1"/>
  </r>
  <r>
    <s v="Data Scientist"/>
    <x v="1"/>
    <x v="0"/>
    <x v="6"/>
    <s v="B.Tech"/>
    <x v="0"/>
    <n v="2670661"/>
    <n v="2046314"/>
    <x v="2"/>
  </r>
  <r>
    <s v="AI/ML Engineer"/>
    <x v="0"/>
    <x v="1"/>
    <x v="5"/>
    <s v="B.Sc"/>
    <x v="0"/>
    <n v="1157398"/>
    <n v="879815"/>
    <x v="1"/>
  </r>
  <r>
    <s v="Data Analyst"/>
    <x v="0"/>
    <x v="0"/>
    <x v="4"/>
    <s v="MCA"/>
    <x v="1"/>
    <n v="554183"/>
    <n v="442341"/>
    <x v="0"/>
  </r>
  <r>
    <s v="Data Analyst"/>
    <x v="2"/>
    <x v="1"/>
    <x v="0"/>
    <s v="B.Sc"/>
    <x v="0"/>
    <n v="801616"/>
    <n v="607449"/>
    <x v="0"/>
  </r>
  <r>
    <s v="Analytics Consultant"/>
    <x v="2"/>
    <x v="0"/>
    <x v="5"/>
    <s v="BCA"/>
    <x v="0"/>
    <n v="1436701"/>
    <n v="1153409"/>
    <x v="0"/>
  </r>
  <r>
    <s v="Big Data Engineer"/>
    <x v="1"/>
    <x v="1"/>
    <x v="0"/>
    <s v="M.Tech"/>
    <x v="1"/>
    <n v="4831609"/>
    <n v="3642915"/>
    <x v="2"/>
  </r>
  <r>
    <s v="AI/ML Engineer"/>
    <x v="1"/>
    <x v="1"/>
    <x v="1"/>
    <s v="M.Tech"/>
    <x v="0"/>
    <n v="6736461"/>
    <n v="4860164"/>
    <x v="1"/>
  </r>
  <r>
    <s v="Analytics Consultant"/>
    <x v="0"/>
    <x v="0"/>
    <x v="4"/>
    <s v="BCA"/>
    <x v="3"/>
    <n v="1051653"/>
    <n v="854043"/>
    <x v="0"/>
  </r>
  <r>
    <s v="Data Scientist"/>
    <x v="0"/>
    <x v="0"/>
    <x v="1"/>
    <s v="M.Sc"/>
    <x v="1"/>
    <n v="413916"/>
    <n v="292660"/>
    <x v="2"/>
  </r>
  <r>
    <s v="Data Analyst"/>
    <x v="0"/>
    <x v="0"/>
    <x v="6"/>
    <s v="M.Sc"/>
    <x v="1"/>
    <n v="427242"/>
    <n v="337065"/>
    <x v="0"/>
  </r>
  <r>
    <s v="Data Scientist"/>
    <x v="0"/>
    <x v="0"/>
    <x v="0"/>
    <s v="M.Tech"/>
    <x v="2"/>
    <n v="816294"/>
    <n v="639617"/>
    <x v="2"/>
  </r>
  <r>
    <s v="Analytics Consultant"/>
    <x v="0"/>
    <x v="0"/>
    <x v="5"/>
    <s v="BCA"/>
    <x v="2"/>
    <n v="1190382"/>
    <n v="879147"/>
    <x v="0"/>
  </r>
  <r>
    <s v="AI/ML Engineer"/>
    <x v="0"/>
    <x v="0"/>
    <x v="7"/>
    <s v="PhD"/>
    <x v="2"/>
    <n v="1190802"/>
    <n v="845821"/>
    <x v="1"/>
  </r>
  <r>
    <s v="AI Researcher"/>
    <x v="1"/>
    <x v="1"/>
    <x v="5"/>
    <s v="M.Sc"/>
    <x v="2"/>
    <n v="6322725"/>
    <n v="4801628"/>
    <x v="1"/>
  </r>
  <r>
    <s v="Data Analyst"/>
    <x v="0"/>
    <x v="0"/>
    <x v="7"/>
    <s v="BCA"/>
    <x v="1"/>
    <n v="456968"/>
    <n v="331551"/>
    <x v="0"/>
  </r>
  <r>
    <s v="Big Data Engineer"/>
    <x v="0"/>
    <x v="0"/>
    <x v="8"/>
    <s v="B.Sc"/>
    <x v="3"/>
    <n v="1170516"/>
    <n v="923411"/>
    <x v="2"/>
  </r>
  <r>
    <s v="Data Analyst"/>
    <x v="0"/>
    <x v="0"/>
    <x v="7"/>
    <s v="B.Tech"/>
    <x v="2"/>
    <n v="773624"/>
    <n v="591845"/>
    <x v="0"/>
  </r>
  <r>
    <s v="Analytics Consultant"/>
    <x v="1"/>
    <x v="1"/>
    <x v="0"/>
    <s v="M.Sc"/>
    <x v="2"/>
    <n v="4632360"/>
    <n v="3572118"/>
    <x v="0"/>
  </r>
  <r>
    <s v="Analytics Consultant"/>
    <x v="0"/>
    <x v="0"/>
    <x v="0"/>
    <s v="M.Tech"/>
    <x v="3"/>
    <n v="1084124"/>
    <n v="784891"/>
    <x v="0"/>
  </r>
  <r>
    <s v="Analytics Consultant"/>
    <x v="2"/>
    <x v="0"/>
    <x v="7"/>
    <s v="B.Tech"/>
    <x v="1"/>
    <n v="1299966"/>
    <n v="947062"/>
    <x v="0"/>
  </r>
  <r>
    <s v="AI/ML Engineer"/>
    <x v="2"/>
    <x v="1"/>
    <x v="2"/>
    <s v="MCA"/>
    <x v="2"/>
    <n v="2058161"/>
    <n v="1599733"/>
    <x v="1"/>
  </r>
  <r>
    <s v="Big Data Engineer"/>
    <x v="1"/>
    <x v="0"/>
    <x v="2"/>
    <s v="PhD"/>
    <x v="3"/>
    <n v="5401533"/>
    <n v="3813137"/>
    <x v="2"/>
  </r>
  <r>
    <s v="Data Analyst"/>
    <x v="1"/>
    <x v="0"/>
    <x v="2"/>
    <s v="B.Tech"/>
    <x v="3"/>
    <n v="2532927"/>
    <n v="2054019"/>
    <x v="0"/>
  </r>
  <r>
    <s v="Analytics Consultant"/>
    <x v="1"/>
    <x v="1"/>
    <x v="6"/>
    <s v="BCA"/>
    <x v="2"/>
    <n v="3702144"/>
    <n v="2865533"/>
    <x v="0"/>
  </r>
  <r>
    <s v="Data Analyst"/>
    <x v="2"/>
    <x v="1"/>
    <x v="4"/>
    <s v="M.Sc"/>
    <x v="1"/>
    <n v="1094198"/>
    <n v="768793"/>
    <x v="0"/>
  </r>
  <r>
    <s v="Data Scientist"/>
    <x v="1"/>
    <x v="1"/>
    <x v="6"/>
    <s v="B.Tech"/>
    <x v="0"/>
    <n v="3819466"/>
    <n v="3063417"/>
    <x v="2"/>
  </r>
  <r>
    <s v="AI/ML Engineer"/>
    <x v="1"/>
    <x v="0"/>
    <x v="2"/>
    <s v="M.Sc"/>
    <x v="0"/>
    <n v="5101608"/>
    <n v="3736514"/>
    <x v="1"/>
  </r>
  <r>
    <s v="Data Scientist"/>
    <x v="1"/>
    <x v="0"/>
    <x v="1"/>
    <s v="MCA"/>
    <x v="0"/>
    <n v="2973633"/>
    <n v="2095864"/>
    <x v="2"/>
  </r>
  <r>
    <s v="AI/ML Engineer"/>
    <x v="0"/>
    <x v="1"/>
    <x v="2"/>
    <s v="BCA"/>
    <x v="1"/>
    <n v="1045221"/>
    <n v="809266"/>
    <x v="1"/>
  </r>
  <r>
    <s v="AI Researcher"/>
    <x v="0"/>
    <x v="1"/>
    <x v="0"/>
    <s v="PhD"/>
    <x v="1"/>
    <n v="932361"/>
    <n v="743765"/>
    <x v="1"/>
  </r>
  <r>
    <s v="Big Data Engineer"/>
    <x v="1"/>
    <x v="1"/>
    <x v="6"/>
    <s v="B.Sc"/>
    <x v="0"/>
    <n v="5232651"/>
    <n v="3796876"/>
    <x v="2"/>
  </r>
  <r>
    <s v="Data Analyst"/>
    <x v="1"/>
    <x v="0"/>
    <x v="0"/>
    <s v="PhD"/>
    <x v="0"/>
    <n v="2933896"/>
    <n v="2275548"/>
    <x v="0"/>
  </r>
  <r>
    <s v="AI Researcher"/>
    <x v="2"/>
    <x v="0"/>
    <x v="8"/>
    <s v="MCA"/>
    <x v="1"/>
    <n v="2106536"/>
    <n v="1616817"/>
    <x v="1"/>
  </r>
  <r>
    <s v="AI/ML Engineer"/>
    <x v="2"/>
    <x v="1"/>
    <x v="5"/>
    <s v="M.Sc"/>
    <x v="1"/>
    <n v="1656023"/>
    <n v="1212056"/>
    <x v="1"/>
  </r>
  <r>
    <s v="Data Analyst"/>
    <x v="1"/>
    <x v="0"/>
    <x v="0"/>
    <s v="B.Tech"/>
    <x v="3"/>
    <n v="2252169"/>
    <n v="1618035"/>
    <x v="0"/>
  </r>
  <r>
    <s v="Data Scientist"/>
    <x v="2"/>
    <x v="1"/>
    <x v="2"/>
    <s v="M.Sc"/>
    <x v="0"/>
    <n v="2128695"/>
    <n v="1578482"/>
    <x v="2"/>
  </r>
  <r>
    <s v="Data Analyst"/>
    <x v="0"/>
    <x v="0"/>
    <x v="2"/>
    <s v="M.Tech"/>
    <x v="0"/>
    <n v="540662"/>
    <n v="410155"/>
    <x v="0"/>
  </r>
  <r>
    <s v="Data Analyst"/>
    <x v="2"/>
    <x v="0"/>
    <x v="3"/>
    <s v="M.Sc"/>
    <x v="2"/>
    <n v="1144949"/>
    <n v="878878"/>
    <x v="0"/>
  </r>
  <r>
    <s v="Analytics Consultant"/>
    <x v="1"/>
    <x v="0"/>
    <x v="2"/>
    <s v="PhD"/>
    <x v="0"/>
    <n v="3735982"/>
    <n v="2813353"/>
    <x v="0"/>
  </r>
  <r>
    <s v="Data Scientist"/>
    <x v="1"/>
    <x v="0"/>
    <x v="4"/>
    <s v="PhD"/>
    <x v="1"/>
    <n v="4100174"/>
    <n v="3113083"/>
    <x v="2"/>
  </r>
  <r>
    <s v="AI Researcher"/>
    <x v="0"/>
    <x v="0"/>
    <x v="5"/>
    <s v="MCA"/>
    <x v="3"/>
    <n v="1121566"/>
    <n v="860420"/>
    <x v="1"/>
  </r>
  <r>
    <s v="Data Analyst"/>
    <x v="2"/>
    <x v="0"/>
    <x v="3"/>
    <s v="M.Tech"/>
    <x v="0"/>
    <n v="1204317"/>
    <n v="894654"/>
    <x v="0"/>
  </r>
  <r>
    <s v="AI Researcher"/>
    <x v="1"/>
    <x v="1"/>
    <x v="4"/>
    <s v="BCA"/>
    <x v="3"/>
    <n v="4397016"/>
    <n v="3169890"/>
    <x v="1"/>
  </r>
  <r>
    <s v="Data Scientist"/>
    <x v="2"/>
    <x v="0"/>
    <x v="5"/>
    <s v="B.Sc"/>
    <x v="0"/>
    <n v="2235216"/>
    <n v="1766348"/>
    <x v="2"/>
  </r>
  <r>
    <s v="AI Researcher"/>
    <x v="1"/>
    <x v="0"/>
    <x v="0"/>
    <s v="B.Sc"/>
    <x v="1"/>
    <n v="5143658"/>
    <n v="3718893"/>
    <x v="1"/>
  </r>
  <r>
    <s v="Data Analyst"/>
    <x v="1"/>
    <x v="0"/>
    <x v="1"/>
    <s v="BCA"/>
    <x v="1"/>
    <n v="3000253"/>
    <n v="2259741"/>
    <x v="0"/>
  </r>
  <r>
    <s v="Data Scientist"/>
    <x v="0"/>
    <x v="1"/>
    <x v="0"/>
    <s v="BCA"/>
    <x v="2"/>
    <n v="555826"/>
    <n v="421281"/>
    <x v="2"/>
  </r>
  <r>
    <s v="Big Data Engineer"/>
    <x v="2"/>
    <x v="0"/>
    <x v="1"/>
    <s v="BCA"/>
    <x v="2"/>
    <n v="2064337"/>
    <n v="1689960"/>
    <x v="2"/>
  </r>
  <r>
    <s v="AI/ML Engineer"/>
    <x v="1"/>
    <x v="1"/>
    <x v="6"/>
    <s v="M.Sc"/>
    <x v="2"/>
    <n v="6898771"/>
    <n v="5449053"/>
    <x v="1"/>
  </r>
  <r>
    <s v="Data Analyst"/>
    <x v="1"/>
    <x v="0"/>
    <x v="1"/>
    <s v="B.Sc"/>
    <x v="1"/>
    <n v="2298730"/>
    <n v="1846804"/>
    <x v="0"/>
  </r>
  <r>
    <s v="Analytics Consultant"/>
    <x v="1"/>
    <x v="0"/>
    <x v="6"/>
    <s v="BCA"/>
    <x v="3"/>
    <n v="4031631"/>
    <n v="2997454"/>
    <x v="0"/>
  </r>
  <r>
    <s v="AI Researcher"/>
    <x v="2"/>
    <x v="0"/>
    <x v="4"/>
    <s v="M.Sc"/>
    <x v="3"/>
    <n v="2983233"/>
    <n v="2440983"/>
    <x v="1"/>
  </r>
  <r>
    <s v="AI Researcher"/>
    <x v="0"/>
    <x v="1"/>
    <x v="5"/>
    <s v="BCA"/>
    <x v="3"/>
    <n v="723648"/>
    <n v="509613"/>
    <x v="1"/>
  </r>
  <r>
    <s v="Big Data Engineer"/>
    <x v="2"/>
    <x v="0"/>
    <x v="5"/>
    <s v="B.Sc"/>
    <x v="1"/>
    <n v="1938305"/>
    <n v="1521300"/>
    <x v="2"/>
  </r>
  <r>
    <s v="AI Researcher"/>
    <x v="1"/>
    <x v="0"/>
    <x v="0"/>
    <s v="PhD"/>
    <x v="0"/>
    <n v="6121967"/>
    <n v="4693334"/>
    <x v="1"/>
  </r>
  <r>
    <s v="AI Researcher"/>
    <x v="1"/>
    <x v="0"/>
    <x v="0"/>
    <s v="M.Tech"/>
    <x v="0"/>
    <n v="4033785"/>
    <n v="2833195"/>
    <x v="1"/>
  </r>
  <r>
    <s v="Data Scientist"/>
    <x v="2"/>
    <x v="0"/>
    <x v="6"/>
    <s v="PhD"/>
    <x v="0"/>
    <n v="2301127"/>
    <n v="1720107"/>
    <x v="2"/>
  </r>
  <r>
    <s v="Big Data Engineer"/>
    <x v="2"/>
    <x v="1"/>
    <x v="0"/>
    <s v="BCA"/>
    <x v="0"/>
    <n v="2258871"/>
    <n v="1590384"/>
    <x v="2"/>
  </r>
  <r>
    <s v="Analytics Consultant"/>
    <x v="2"/>
    <x v="1"/>
    <x v="2"/>
    <s v="B.Sc"/>
    <x v="3"/>
    <n v="1794678"/>
    <n v="1439305"/>
    <x v="0"/>
  </r>
  <r>
    <s v="Data Scientist"/>
    <x v="2"/>
    <x v="1"/>
    <x v="4"/>
    <s v="M.Tech"/>
    <x v="0"/>
    <n v="1363270"/>
    <n v="1048896"/>
    <x v="2"/>
  </r>
  <r>
    <s v="Big Data Engineer"/>
    <x v="2"/>
    <x v="1"/>
    <x v="5"/>
    <s v="M.Sc"/>
    <x v="0"/>
    <n v="1899385"/>
    <n v="1515889"/>
    <x v="2"/>
  </r>
  <r>
    <s v="Big Data Engineer"/>
    <x v="0"/>
    <x v="0"/>
    <x v="7"/>
    <s v="MCA"/>
    <x v="0"/>
    <n v="1032155"/>
    <n v="815105"/>
    <x v="2"/>
  </r>
  <r>
    <s v="Data Analyst"/>
    <x v="0"/>
    <x v="1"/>
    <x v="2"/>
    <s v="M.Tech"/>
    <x v="2"/>
    <n v="781664"/>
    <n v="569566"/>
    <x v="0"/>
  </r>
  <r>
    <s v="AI Researcher"/>
    <x v="0"/>
    <x v="1"/>
    <x v="2"/>
    <s v="PhD"/>
    <x v="1"/>
    <n v="1310169"/>
    <n v="1008980"/>
    <x v="1"/>
  </r>
  <r>
    <s v="Big Data Engineer"/>
    <x v="0"/>
    <x v="0"/>
    <x v="2"/>
    <s v="B.Tech"/>
    <x v="3"/>
    <n v="712817"/>
    <n v="553728"/>
    <x v="2"/>
  </r>
  <r>
    <s v="Data Scientist"/>
    <x v="2"/>
    <x v="0"/>
    <x v="3"/>
    <s v="BCA"/>
    <x v="2"/>
    <n v="2468448"/>
    <n v="1946908"/>
    <x v="2"/>
  </r>
  <r>
    <s v="Data Scientist"/>
    <x v="1"/>
    <x v="0"/>
    <x v="1"/>
    <s v="BCA"/>
    <x v="1"/>
    <n v="3567908"/>
    <n v="2662011"/>
    <x v="2"/>
  </r>
  <r>
    <s v="Data Scientist"/>
    <x v="1"/>
    <x v="0"/>
    <x v="1"/>
    <s v="B.Tech"/>
    <x v="0"/>
    <n v="3948475"/>
    <n v="3119930"/>
    <x v="2"/>
  </r>
  <r>
    <s v="Data Scientist"/>
    <x v="2"/>
    <x v="1"/>
    <x v="1"/>
    <s v="BCA"/>
    <x v="2"/>
    <n v="2255309"/>
    <n v="1718620"/>
    <x v="2"/>
  </r>
  <r>
    <s v="AI/ML Engineer"/>
    <x v="1"/>
    <x v="1"/>
    <x v="2"/>
    <s v="B.Sc"/>
    <x v="2"/>
    <n v="3291143"/>
    <n v="2458704"/>
    <x v="1"/>
  </r>
  <r>
    <s v="Big Data Engineer"/>
    <x v="1"/>
    <x v="1"/>
    <x v="3"/>
    <s v="BCA"/>
    <x v="3"/>
    <n v="5105227"/>
    <n v="4046485"/>
    <x v="2"/>
  </r>
  <r>
    <s v="Analytics Consultant"/>
    <x v="1"/>
    <x v="1"/>
    <x v="3"/>
    <s v="B.Tech"/>
    <x v="2"/>
    <n v="4541141"/>
    <n v="3534388"/>
    <x v="0"/>
  </r>
  <r>
    <s v="AI/ML Engineer"/>
    <x v="1"/>
    <x v="0"/>
    <x v="1"/>
    <s v="PhD"/>
    <x v="2"/>
    <n v="6930830"/>
    <n v="5476648"/>
    <x v="1"/>
  </r>
  <r>
    <s v="Data Scientist"/>
    <x v="2"/>
    <x v="1"/>
    <x v="8"/>
    <s v="M.Sc"/>
    <x v="3"/>
    <n v="1690355"/>
    <n v="1265229"/>
    <x v="2"/>
  </r>
  <r>
    <s v="AI/ML Engineer"/>
    <x v="0"/>
    <x v="0"/>
    <x v="3"/>
    <s v="B.Tech"/>
    <x v="3"/>
    <n v="616454"/>
    <n v="497142"/>
    <x v="1"/>
  </r>
  <r>
    <s v="Analytics Consultant"/>
    <x v="1"/>
    <x v="1"/>
    <x v="1"/>
    <s v="MCA"/>
    <x v="3"/>
    <n v="4225244"/>
    <n v="3315060"/>
    <x v="0"/>
  </r>
  <r>
    <s v="Data Analyst"/>
    <x v="0"/>
    <x v="1"/>
    <x v="1"/>
    <s v="M.Sc"/>
    <x v="3"/>
    <n v="600245"/>
    <n v="432131"/>
    <x v="0"/>
  </r>
  <r>
    <s v="AI Researcher"/>
    <x v="0"/>
    <x v="0"/>
    <x v="6"/>
    <s v="B.Tech"/>
    <x v="3"/>
    <n v="1343155"/>
    <n v="953296"/>
    <x v="1"/>
  </r>
  <r>
    <s v="Big Data Engineer"/>
    <x v="0"/>
    <x v="1"/>
    <x v="1"/>
    <s v="M.Tech"/>
    <x v="0"/>
    <n v="1092904"/>
    <n v="853900"/>
    <x v="2"/>
  </r>
  <r>
    <s v="Data Scientist"/>
    <x v="2"/>
    <x v="0"/>
    <x v="6"/>
    <s v="M.Sc"/>
    <x v="0"/>
    <n v="1604486"/>
    <n v="1185319"/>
    <x v="2"/>
  </r>
  <r>
    <s v="AI Researcher"/>
    <x v="0"/>
    <x v="0"/>
    <x v="0"/>
    <s v="PhD"/>
    <x v="0"/>
    <n v="1544080"/>
    <n v="1086462"/>
    <x v="1"/>
  </r>
  <r>
    <s v="Big Data Engineer"/>
    <x v="0"/>
    <x v="0"/>
    <x v="7"/>
    <s v="B.Sc"/>
    <x v="2"/>
    <n v="567796"/>
    <n v="420086"/>
    <x v="2"/>
  </r>
  <r>
    <s v="Big Data Engineer"/>
    <x v="1"/>
    <x v="1"/>
    <x v="0"/>
    <s v="B.Sc"/>
    <x v="1"/>
    <n v="2564792"/>
    <n v="1992502"/>
    <x v="2"/>
  </r>
  <r>
    <s v="AI Researcher"/>
    <x v="2"/>
    <x v="1"/>
    <x v="1"/>
    <s v="M.Sc"/>
    <x v="2"/>
    <n v="2632474"/>
    <n v="1978063"/>
    <x v="1"/>
  </r>
  <r>
    <s v="AI Researcher"/>
    <x v="0"/>
    <x v="0"/>
    <x v="2"/>
    <s v="PhD"/>
    <x v="3"/>
    <n v="1300371"/>
    <n v="953464"/>
    <x v="1"/>
  </r>
  <r>
    <s v="Data Analyst"/>
    <x v="1"/>
    <x v="1"/>
    <x v="1"/>
    <s v="B.Sc"/>
    <x v="2"/>
    <n v="3088923"/>
    <n v="2501894"/>
    <x v="0"/>
  </r>
  <r>
    <s v="Big Data Engineer"/>
    <x v="2"/>
    <x v="1"/>
    <x v="7"/>
    <s v="M.Sc"/>
    <x v="3"/>
    <n v="2301221"/>
    <n v="1709547"/>
    <x v="2"/>
  </r>
  <r>
    <s v="Analytics Consultant"/>
    <x v="1"/>
    <x v="0"/>
    <x v="3"/>
    <s v="BCA"/>
    <x v="1"/>
    <n v="4998838"/>
    <n v="4011790"/>
    <x v="0"/>
  </r>
  <r>
    <s v="Data Analyst"/>
    <x v="0"/>
    <x v="0"/>
    <x v="2"/>
    <s v="BCA"/>
    <x v="0"/>
    <n v="774906"/>
    <n v="566085"/>
    <x v="0"/>
  </r>
  <r>
    <s v="Analytics Consultant"/>
    <x v="0"/>
    <x v="1"/>
    <x v="4"/>
    <s v="M.Sc"/>
    <x v="0"/>
    <n v="797276"/>
    <n v="581923"/>
    <x v="0"/>
  </r>
  <r>
    <s v="Big Data Engineer"/>
    <x v="0"/>
    <x v="0"/>
    <x v="0"/>
    <s v="M.Sc"/>
    <x v="1"/>
    <n v="896855"/>
    <n v="722430"/>
    <x v="2"/>
  </r>
  <r>
    <s v="Big Data Engineer"/>
    <x v="2"/>
    <x v="0"/>
    <x v="4"/>
    <s v="MCA"/>
    <x v="3"/>
    <n v="1256137"/>
    <n v="901973"/>
    <x v="2"/>
  </r>
  <r>
    <s v="AI Researcher"/>
    <x v="1"/>
    <x v="1"/>
    <x v="1"/>
    <s v="B.Sc"/>
    <x v="2"/>
    <n v="4500275"/>
    <n v="3487305"/>
    <x v="1"/>
  </r>
  <r>
    <s v="Big Data Engineer"/>
    <x v="0"/>
    <x v="1"/>
    <x v="6"/>
    <s v="B.Sc"/>
    <x v="2"/>
    <n v="999517"/>
    <n v="748123"/>
    <x v="2"/>
  </r>
  <r>
    <s v="Analytics Consultant"/>
    <x v="1"/>
    <x v="0"/>
    <x v="0"/>
    <s v="B.Sc"/>
    <x v="1"/>
    <n v="4488372"/>
    <n v="3383787"/>
    <x v="0"/>
  </r>
  <r>
    <s v="Big Data Engineer"/>
    <x v="1"/>
    <x v="1"/>
    <x v="8"/>
    <s v="B.Tech"/>
    <x v="1"/>
    <n v="3721247"/>
    <n v="2878585"/>
    <x v="2"/>
  </r>
  <r>
    <s v="Big Data Engineer"/>
    <x v="2"/>
    <x v="1"/>
    <x v="6"/>
    <s v="B.Tech"/>
    <x v="3"/>
    <n v="1370571"/>
    <n v="1054603"/>
    <x v="2"/>
  </r>
  <r>
    <s v="Data Scientist"/>
    <x v="2"/>
    <x v="0"/>
    <x v="1"/>
    <s v="BCA"/>
    <x v="0"/>
    <n v="2081143"/>
    <n v="1512325"/>
    <x v="2"/>
  </r>
  <r>
    <s v="AI/ML Engineer"/>
    <x v="1"/>
    <x v="1"/>
    <x v="4"/>
    <s v="PhD"/>
    <x v="2"/>
    <n v="4855299"/>
    <n v="3592758"/>
    <x v="1"/>
  </r>
  <r>
    <s v="Big Data Engineer"/>
    <x v="2"/>
    <x v="1"/>
    <x v="7"/>
    <s v="MCA"/>
    <x v="0"/>
    <n v="2341131"/>
    <n v="1759315"/>
    <x v="2"/>
  </r>
  <r>
    <s v="Data Analyst"/>
    <x v="1"/>
    <x v="1"/>
    <x v="2"/>
    <s v="B.Tech"/>
    <x v="2"/>
    <n v="2533511"/>
    <n v="1785437"/>
    <x v="0"/>
  </r>
  <r>
    <s v="Data Analyst"/>
    <x v="2"/>
    <x v="1"/>
    <x v="3"/>
    <s v="B.Sc"/>
    <x v="2"/>
    <n v="933029"/>
    <n v="690577"/>
    <x v="0"/>
  </r>
  <r>
    <s v="Big Data Engineer"/>
    <x v="0"/>
    <x v="0"/>
    <x v="0"/>
    <s v="BCA"/>
    <x v="0"/>
    <n v="701887"/>
    <n v="555251"/>
    <x v="2"/>
  </r>
  <r>
    <s v="AI Researcher"/>
    <x v="1"/>
    <x v="0"/>
    <x v="6"/>
    <s v="BCA"/>
    <x v="3"/>
    <n v="6700751"/>
    <n v="4821988"/>
    <x v="1"/>
  </r>
  <r>
    <s v="Analytics Consultant"/>
    <x v="2"/>
    <x v="0"/>
    <x v="0"/>
    <s v="B.Sc"/>
    <x v="3"/>
    <n v="2483117"/>
    <n v="1876462"/>
    <x v="0"/>
  </r>
  <r>
    <s v="Analytics Consultant"/>
    <x v="2"/>
    <x v="0"/>
    <x v="4"/>
    <s v="MCA"/>
    <x v="0"/>
    <n v="2142072"/>
    <n v="1511706"/>
    <x v="0"/>
  </r>
  <r>
    <s v="Big Data Engineer"/>
    <x v="0"/>
    <x v="0"/>
    <x v="8"/>
    <s v="M.Tech"/>
    <x v="1"/>
    <n v="710375"/>
    <n v="534050"/>
    <x v="2"/>
  </r>
  <r>
    <s v="AI Researcher"/>
    <x v="1"/>
    <x v="0"/>
    <x v="0"/>
    <s v="M.Sc"/>
    <x v="2"/>
    <n v="5235775"/>
    <n v="4128798"/>
    <x v="1"/>
  </r>
  <r>
    <s v="Analytics Consultant"/>
    <x v="1"/>
    <x v="0"/>
    <x v="5"/>
    <s v="B.Tech"/>
    <x v="2"/>
    <n v="3260433"/>
    <n v="2556444"/>
    <x v="0"/>
  </r>
  <r>
    <s v="Analytics Consultant"/>
    <x v="2"/>
    <x v="0"/>
    <x v="7"/>
    <s v="PhD"/>
    <x v="2"/>
    <n v="1637804"/>
    <n v="1158285"/>
    <x v="0"/>
  </r>
  <r>
    <s v="Analytics Consultant"/>
    <x v="1"/>
    <x v="1"/>
    <x v="2"/>
    <s v="BCA"/>
    <x v="1"/>
    <n v="4417581"/>
    <n v="3192470"/>
    <x v="0"/>
  </r>
  <r>
    <s v="AI/ML Engineer"/>
    <x v="0"/>
    <x v="1"/>
    <x v="0"/>
    <s v="MCA"/>
    <x v="0"/>
    <n v="1291780"/>
    <n v="914396"/>
    <x v="1"/>
  </r>
  <r>
    <s v="Data Analyst"/>
    <x v="2"/>
    <x v="0"/>
    <x v="6"/>
    <s v="B.Sc"/>
    <x v="1"/>
    <n v="843059"/>
    <n v="615739"/>
    <x v="0"/>
  </r>
  <r>
    <s v="AI/ML Engineer"/>
    <x v="1"/>
    <x v="0"/>
    <x v="5"/>
    <s v="B.Sc"/>
    <x v="1"/>
    <n v="6886685"/>
    <n v="5518865"/>
    <x v="1"/>
  </r>
  <r>
    <s v="Data Analyst"/>
    <x v="2"/>
    <x v="0"/>
    <x v="1"/>
    <s v="M.Tech"/>
    <x v="2"/>
    <n v="976385"/>
    <n v="720993"/>
    <x v="0"/>
  </r>
  <r>
    <s v="Analytics Consultant"/>
    <x v="0"/>
    <x v="1"/>
    <x v="2"/>
    <s v="MCA"/>
    <x v="0"/>
    <n v="971520"/>
    <n v="680738"/>
    <x v="0"/>
  </r>
  <r>
    <s v="Data Scientist"/>
    <x v="0"/>
    <x v="0"/>
    <x v="0"/>
    <s v="M.Tech"/>
    <x v="1"/>
    <n v="502148"/>
    <n v="393636"/>
    <x v="2"/>
  </r>
  <r>
    <s v="AI/ML Engineer"/>
    <x v="1"/>
    <x v="1"/>
    <x v="3"/>
    <s v="B.Sc"/>
    <x v="1"/>
    <n v="6738817"/>
    <n v="5365727"/>
    <x v="1"/>
  </r>
  <r>
    <s v="AI Researcher"/>
    <x v="1"/>
    <x v="0"/>
    <x v="1"/>
    <s v="B.Tech"/>
    <x v="3"/>
    <n v="4087559"/>
    <n v="2933898"/>
    <x v="1"/>
  </r>
  <r>
    <s v="Data Scientist"/>
    <x v="0"/>
    <x v="1"/>
    <x v="1"/>
    <s v="B.Sc"/>
    <x v="1"/>
    <n v="1105580"/>
    <n v="865503"/>
    <x v="2"/>
  </r>
  <r>
    <s v="Analytics Consultant"/>
    <x v="0"/>
    <x v="1"/>
    <x v="7"/>
    <s v="BCA"/>
    <x v="2"/>
    <n v="1033896"/>
    <n v="839754"/>
    <x v="0"/>
  </r>
  <r>
    <s v="Data Analyst"/>
    <x v="0"/>
    <x v="0"/>
    <x v="1"/>
    <s v="PhD"/>
    <x v="1"/>
    <n v="328937"/>
    <n v="251756"/>
    <x v="0"/>
  </r>
  <r>
    <s v="Big Data Engineer"/>
    <x v="2"/>
    <x v="0"/>
    <x v="8"/>
    <s v="M.Tech"/>
    <x v="0"/>
    <n v="2061384"/>
    <n v="1632889"/>
    <x v="2"/>
  </r>
  <r>
    <s v="Data Analyst"/>
    <x v="2"/>
    <x v="1"/>
    <x v="2"/>
    <s v="B.Sc"/>
    <x v="0"/>
    <n v="1651671"/>
    <n v="1259301"/>
    <x v="0"/>
  </r>
  <r>
    <s v="Data Analyst"/>
    <x v="1"/>
    <x v="0"/>
    <x v="0"/>
    <s v="PhD"/>
    <x v="0"/>
    <n v="2996095"/>
    <n v="2370134"/>
    <x v="0"/>
  </r>
  <r>
    <s v="Data Analyst"/>
    <x v="2"/>
    <x v="0"/>
    <x v="7"/>
    <s v="B.Tech"/>
    <x v="2"/>
    <n v="1222626"/>
    <n v="983870"/>
    <x v="0"/>
  </r>
  <r>
    <s v="Analytics Consultant"/>
    <x v="2"/>
    <x v="0"/>
    <x v="1"/>
    <s v="B.Tech"/>
    <x v="2"/>
    <n v="1512112"/>
    <n v="1208306"/>
    <x v="0"/>
  </r>
  <r>
    <s v="AI/ML Engineer"/>
    <x v="0"/>
    <x v="1"/>
    <x v="3"/>
    <s v="B.Sc"/>
    <x v="0"/>
    <n v="836054"/>
    <n v="600342"/>
    <x v="1"/>
  </r>
  <r>
    <s v="Data Analyst"/>
    <x v="1"/>
    <x v="1"/>
    <x v="3"/>
    <s v="BCA"/>
    <x v="0"/>
    <n v="2170341"/>
    <n v="1574587"/>
    <x v="0"/>
  </r>
  <r>
    <s v="AI/ML Engineer"/>
    <x v="1"/>
    <x v="1"/>
    <x v="1"/>
    <s v="PhD"/>
    <x v="0"/>
    <n v="6513308"/>
    <n v="5089523"/>
    <x v="1"/>
  </r>
  <r>
    <s v="Data Scientist"/>
    <x v="0"/>
    <x v="1"/>
    <x v="3"/>
    <s v="MCA"/>
    <x v="0"/>
    <n v="492095"/>
    <n v="377287"/>
    <x v="2"/>
  </r>
  <r>
    <s v="AI Researcher"/>
    <x v="2"/>
    <x v="1"/>
    <x v="5"/>
    <s v="M.Sc"/>
    <x v="3"/>
    <n v="2741325"/>
    <n v="2020851"/>
    <x v="1"/>
  </r>
  <r>
    <s v="AI/ML Engineer"/>
    <x v="0"/>
    <x v="0"/>
    <x v="6"/>
    <s v="MCA"/>
    <x v="0"/>
    <n v="1236818"/>
    <n v="906505"/>
    <x v="1"/>
  </r>
  <r>
    <s v="Big Data Engineer"/>
    <x v="1"/>
    <x v="0"/>
    <x v="0"/>
    <s v="B.Sc"/>
    <x v="3"/>
    <n v="4313767"/>
    <n v="3303331"/>
    <x v="2"/>
  </r>
  <r>
    <s v="Big Data Engineer"/>
    <x v="1"/>
    <x v="0"/>
    <x v="5"/>
    <s v="M.Sc"/>
    <x v="0"/>
    <n v="4967867"/>
    <n v="3675775"/>
    <x v="2"/>
  </r>
  <r>
    <s v="AI Researcher"/>
    <x v="0"/>
    <x v="1"/>
    <x v="3"/>
    <s v="MCA"/>
    <x v="2"/>
    <n v="1517860"/>
    <n v="1209742"/>
    <x v="1"/>
  </r>
  <r>
    <s v="Analytics Consultant"/>
    <x v="2"/>
    <x v="1"/>
    <x v="8"/>
    <s v="B.Tech"/>
    <x v="0"/>
    <n v="1935736"/>
    <n v="1442041"/>
    <x v="0"/>
  </r>
  <r>
    <s v="Data Scientist"/>
    <x v="0"/>
    <x v="0"/>
    <x v="6"/>
    <s v="M.Tech"/>
    <x v="0"/>
    <n v="913915"/>
    <n v="708780"/>
    <x v="2"/>
  </r>
  <r>
    <s v="Data Analyst"/>
    <x v="0"/>
    <x v="0"/>
    <x v="7"/>
    <s v="M.Tech"/>
    <x v="1"/>
    <n v="787937"/>
    <n v="591667"/>
    <x v="0"/>
  </r>
  <r>
    <s v="Analytics Consultant"/>
    <x v="0"/>
    <x v="1"/>
    <x v="8"/>
    <s v="B.Sc"/>
    <x v="0"/>
    <n v="659929"/>
    <n v="479708"/>
    <x v="0"/>
  </r>
  <r>
    <s v="Data Scientist"/>
    <x v="0"/>
    <x v="0"/>
    <x v="2"/>
    <s v="B.Sc"/>
    <x v="1"/>
    <n v="576038"/>
    <n v="422866"/>
    <x v="2"/>
  </r>
  <r>
    <s v="Analytics Consultant"/>
    <x v="1"/>
    <x v="1"/>
    <x v="0"/>
    <s v="B.Sc"/>
    <x v="0"/>
    <n v="3098989"/>
    <n v="2460190"/>
    <x v="0"/>
  </r>
  <r>
    <s v="Analytics Consultant"/>
    <x v="1"/>
    <x v="0"/>
    <x v="2"/>
    <s v="M.Sc"/>
    <x v="2"/>
    <n v="3266434"/>
    <n v="2519799"/>
    <x v="0"/>
  </r>
  <r>
    <s v="AI/ML Engineer"/>
    <x v="1"/>
    <x v="0"/>
    <x v="4"/>
    <s v="B.Sc"/>
    <x v="3"/>
    <n v="6605500"/>
    <n v="4752824"/>
    <x v="1"/>
  </r>
  <r>
    <s v="AI/ML Engineer"/>
    <x v="2"/>
    <x v="1"/>
    <x v="2"/>
    <s v="B.Sc"/>
    <x v="1"/>
    <n v="1508245"/>
    <n v="1161949"/>
    <x v="1"/>
  </r>
  <r>
    <s v="Analytics Consultant"/>
    <x v="1"/>
    <x v="1"/>
    <x v="8"/>
    <s v="M.Tech"/>
    <x v="0"/>
    <n v="4844622"/>
    <n v="3720339"/>
    <x v="0"/>
  </r>
  <r>
    <s v="Analytics Consultant"/>
    <x v="0"/>
    <x v="0"/>
    <x v="1"/>
    <s v="MCA"/>
    <x v="1"/>
    <n v="655091"/>
    <n v="467442"/>
    <x v="0"/>
  </r>
  <r>
    <s v="Data Scientist"/>
    <x v="2"/>
    <x v="1"/>
    <x v="8"/>
    <s v="M.Tech"/>
    <x v="0"/>
    <n v="2118764"/>
    <n v="1592665"/>
    <x v="2"/>
  </r>
  <r>
    <s v="AI Researcher"/>
    <x v="1"/>
    <x v="1"/>
    <x v="3"/>
    <s v="BCA"/>
    <x v="0"/>
    <n v="6930317"/>
    <n v="5170291"/>
    <x v="1"/>
  </r>
  <r>
    <s v="Data Analyst"/>
    <x v="2"/>
    <x v="1"/>
    <x v="8"/>
    <s v="PhD"/>
    <x v="0"/>
    <n v="1069717"/>
    <n v="870146"/>
    <x v="0"/>
  </r>
  <r>
    <s v="AI/ML Engineer"/>
    <x v="1"/>
    <x v="0"/>
    <x v="5"/>
    <s v="B.Sc"/>
    <x v="0"/>
    <n v="3826664"/>
    <n v="2941114"/>
    <x v="1"/>
  </r>
  <r>
    <s v="Data Scientist"/>
    <x v="0"/>
    <x v="0"/>
    <x v="4"/>
    <s v="M.Sc"/>
    <x v="1"/>
    <n v="1004277"/>
    <n v="808291"/>
    <x v="2"/>
  </r>
  <r>
    <s v="Big Data Engineer"/>
    <x v="0"/>
    <x v="0"/>
    <x v="3"/>
    <s v="M.Tech"/>
    <x v="2"/>
    <n v="843070"/>
    <n v="642814"/>
    <x v="2"/>
  </r>
  <r>
    <s v="Big Data Engineer"/>
    <x v="0"/>
    <x v="0"/>
    <x v="7"/>
    <s v="PhD"/>
    <x v="1"/>
    <n v="615318"/>
    <n v="449704"/>
    <x v="2"/>
  </r>
  <r>
    <s v="Data Analyst"/>
    <x v="2"/>
    <x v="0"/>
    <x v="1"/>
    <s v="M.Sc"/>
    <x v="1"/>
    <n v="1161335"/>
    <n v="932024"/>
    <x v="0"/>
  </r>
  <r>
    <s v="Big Data Engineer"/>
    <x v="0"/>
    <x v="0"/>
    <x v="4"/>
    <s v="M.Tech"/>
    <x v="1"/>
    <n v="942027"/>
    <n v="750791"/>
    <x v="2"/>
  </r>
  <r>
    <s v="Analytics Consultant"/>
    <x v="2"/>
    <x v="0"/>
    <x v="1"/>
    <s v="PhD"/>
    <x v="0"/>
    <n v="2466806"/>
    <n v="1931365"/>
    <x v="0"/>
  </r>
  <r>
    <s v="Data Analyst"/>
    <x v="0"/>
    <x v="0"/>
    <x v="4"/>
    <s v="M.Tech"/>
    <x v="1"/>
    <n v="624235"/>
    <n v="476672"/>
    <x v="0"/>
  </r>
  <r>
    <s v="AI/ML Engineer"/>
    <x v="1"/>
    <x v="0"/>
    <x v="3"/>
    <s v="M.Sc"/>
    <x v="3"/>
    <n v="4181245"/>
    <n v="3067414"/>
    <x v="1"/>
  </r>
  <r>
    <s v="AI Researcher"/>
    <x v="0"/>
    <x v="1"/>
    <x v="3"/>
    <s v="PhD"/>
    <x v="1"/>
    <n v="717399"/>
    <n v="557222"/>
    <x v="1"/>
  </r>
  <r>
    <s v="AI/ML Engineer"/>
    <x v="1"/>
    <x v="1"/>
    <x v="8"/>
    <s v="B.Sc"/>
    <x v="1"/>
    <n v="5714156"/>
    <n v="4121705"/>
    <x v="1"/>
  </r>
  <r>
    <s v="Analytics Consultant"/>
    <x v="2"/>
    <x v="0"/>
    <x v="7"/>
    <s v="BCA"/>
    <x v="0"/>
    <n v="1379907"/>
    <n v="1017176"/>
    <x v="0"/>
  </r>
  <r>
    <s v="Data Scientist"/>
    <x v="0"/>
    <x v="1"/>
    <x v="8"/>
    <s v="MCA"/>
    <x v="2"/>
    <n v="778913"/>
    <n v="606739"/>
    <x v="2"/>
  </r>
  <r>
    <s v="Big Data Engineer"/>
    <x v="1"/>
    <x v="0"/>
    <x v="1"/>
    <s v="BCA"/>
    <x v="3"/>
    <n v="4040129"/>
    <n v="3236360"/>
    <x v="2"/>
  </r>
  <r>
    <s v="Data Analyst"/>
    <x v="1"/>
    <x v="0"/>
    <x v="0"/>
    <s v="B.Tech"/>
    <x v="3"/>
    <n v="2346117"/>
    <n v="1729745"/>
    <x v="0"/>
  </r>
  <r>
    <s v="Big Data Engineer"/>
    <x v="2"/>
    <x v="0"/>
    <x v="7"/>
    <s v="PhD"/>
    <x v="1"/>
    <n v="1661036"/>
    <n v="1318295"/>
    <x v="2"/>
  </r>
  <r>
    <s v="Big Data Engineer"/>
    <x v="1"/>
    <x v="1"/>
    <x v="1"/>
    <s v="M.Tech"/>
    <x v="3"/>
    <n v="2636588"/>
    <n v="2135598"/>
    <x v="2"/>
  </r>
  <r>
    <s v="Analytics Consultant"/>
    <x v="0"/>
    <x v="0"/>
    <x v="5"/>
    <s v="BCA"/>
    <x v="0"/>
    <n v="926202"/>
    <n v="710806"/>
    <x v="0"/>
  </r>
  <r>
    <s v="AI Researcher"/>
    <x v="1"/>
    <x v="1"/>
    <x v="1"/>
    <s v="PhD"/>
    <x v="1"/>
    <n v="6491892"/>
    <n v="4992743"/>
    <x v="1"/>
  </r>
  <r>
    <s v="AI Researcher"/>
    <x v="0"/>
    <x v="0"/>
    <x v="1"/>
    <s v="B.Tech"/>
    <x v="2"/>
    <n v="1464962"/>
    <n v="1115862"/>
    <x v="1"/>
  </r>
  <r>
    <s v="Analytics Consultant"/>
    <x v="1"/>
    <x v="1"/>
    <x v="1"/>
    <s v="PhD"/>
    <x v="1"/>
    <n v="4255130"/>
    <n v="3284170"/>
    <x v="0"/>
  </r>
  <r>
    <s v="Analytics Consultant"/>
    <x v="2"/>
    <x v="0"/>
    <x v="8"/>
    <s v="PhD"/>
    <x v="2"/>
    <n v="2483195"/>
    <n v="1945446"/>
    <x v="0"/>
  </r>
  <r>
    <s v="Big Data Engineer"/>
    <x v="0"/>
    <x v="0"/>
    <x v="5"/>
    <s v="B.Sc"/>
    <x v="1"/>
    <n v="1021479"/>
    <n v="792481"/>
    <x v="2"/>
  </r>
  <r>
    <s v="Big Data Engineer"/>
    <x v="1"/>
    <x v="1"/>
    <x v="4"/>
    <s v="PhD"/>
    <x v="2"/>
    <n v="5229868"/>
    <n v="4084582"/>
    <x v="2"/>
  </r>
  <r>
    <s v="Analytics Consultant"/>
    <x v="2"/>
    <x v="0"/>
    <x v="7"/>
    <s v="PhD"/>
    <x v="0"/>
    <n v="2004465"/>
    <n v="1589391"/>
    <x v="0"/>
  </r>
  <r>
    <s v="Analytics Consultant"/>
    <x v="0"/>
    <x v="0"/>
    <x v="0"/>
    <s v="B.Sc"/>
    <x v="1"/>
    <n v="931751"/>
    <n v="656033"/>
    <x v="0"/>
  </r>
  <r>
    <s v="AI Researcher"/>
    <x v="1"/>
    <x v="0"/>
    <x v="1"/>
    <s v="M.Sc"/>
    <x v="2"/>
    <n v="5025201"/>
    <n v="3581751"/>
    <x v="1"/>
  </r>
  <r>
    <s v="AI Researcher"/>
    <x v="2"/>
    <x v="1"/>
    <x v="0"/>
    <s v="PhD"/>
    <x v="0"/>
    <n v="2176202"/>
    <n v="1578518"/>
    <x v="1"/>
  </r>
  <r>
    <s v="AI Researcher"/>
    <x v="2"/>
    <x v="0"/>
    <x v="6"/>
    <s v="MCA"/>
    <x v="3"/>
    <n v="2787416"/>
    <n v="2031147"/>
    <x v="1"/>
  </r>
  <r>
    <s v="Analytics Consultant"/>
    <x v="1"/>
    <x v="0"/>
    <x v="3"/>
    <s v="BCA"/>
    <x v="2"/>
    <n v="3160734"/>
    <n v="2439956"/>
    <x v="0"/>
  </r>
  <r>
    <s v="AI Researcher"/>
    <x v="0"/>
    <x v="1"/>
    <x v="5"/>
    <s v="BCA"/>
    <x v="0"/>
    <n v="1403515"/>
    <n v="1063237"/>
    <x v="1"/>
  </r>
  <r>
    <s v="Big Data Engineer"/>
    <x v="2"/>
    <x v="0"/>
    <x v="1"/>
    <s v="B.Tech"/>
    <x v="2"/>
    <n v="1986934"/>
    <n v="1612526"/>
    <x v="2"/>
  </r>
  <r>
    <s v="Big Data Engineer"/>
    <x v="0"/>
    <x v="0"/>
    <x v="0"/>
    <s v="B.Sc"/>
    <x v="2"/>
    <n v="911759"/>
    <n v="666414"/>
    <x v="2"/>
  </r>
  <r>
    <s v="Analytics Consultant"/>
    <x v="0"/>
    <x v="0"/>
    <x v="4"/>
    <s v="M.Sc"/>
    <x v="1"/>
    <n v="1163672"/>
    <n v="856448"/>
    <x v="0"/>
  </r>
  <r>
    <s v="AI/ML Engineer"/>
    <x v="0"/>
    <x v="1"/>
    <x v="0"/>
    <s v="M.Tech"/>
    <x v="2"/>
    <n v="1064110"/>
    <n v="860062"/>
    <x v="1"/>
  </r>
  <r>
    <s v="Data Scientist"/>
    <x v="2"/>
    <x v="1"/>
    <x v="5"/>
    <s v="BCA"/>
    <x v="2"/>
    <n v="1863835"/>
    <n v="1333579"/>
    <x v="2"/>
  </r>
  <r>
    <s v="Analytics Consultant"/>
    <x v="0"/>
    <x v="1"/>
    <x v="8"/>
    <s v="M.Sc"/>
    <x v="2"/>
    <n v="1158709"/>
    <n v="818792"/>
    <x v="0"/>
  </r>
  <r>
    <s v="Data Analyst"/>
    <x v="1"/>
    <x v="0"/>
    <x v="7"/>
    <s v="PhD"/>
    <x v="2"/>
    <n v="2410850"/>
    <n v="1688065"/>
    <x v="0"/>
  </r>
  <r>
    <s v="Data Scientist"/>
    <x v="1"/>
    <x v="0"/>
    <x v="8"/>
    <s v="MCA"/>
    <x v="3"/>
    <n v="3820840"/>
    <n v="3096088"/>
    <x v="2"/>
  </r>
  <r>
    <s v="AI Researcher"/>
    <x v="2"/>
    <x v="0"/>
    <x v="3"/>
    <s v="BCA"/>
    <x v="0"/>
    <n v="1918906"/>
    <n v="1464399"/>
    <x v="1"/>
  </r>
  <r>
    <s v="Data Analyst"/>
    <x v="0"/>
    <x v="0"/>
    <x v="3"/>
    <s v="PhD"/>
    <x v="0"/>
    <n v="500050"/>
    <n v="357125"/>
    <x v="0"/>
  </r>
  <r>
    <s v="Data Analyst"/>
    <x v="1"/>
    <x v="0"/>
    <x v="7"/>
    <s v="B.Sc"/>
    <x v="3"/>
    <n v="2360787"/>
    <n v="1741682"/>
    <x v="0"/>
  </r>
  <r>
    <s v="AI/ML Engineer"/>
    <x v="2"/>
    <x v="0"/>
    <x v="1"/>
    <s v="BCA"/>
    <x v="2"/>
    <n v="2739805"/>
    <n v="1980206"/>
    <x v="1"/>
  </r>
  <r>
    <s v="AI/ML Engineer"/>
    <x v="2"/>
    <x v="1"/>
    <x v="3"/>
    <s v="M.Sc"/>
    <x v="1"/>
    <n v="1560035"/>
    <n v="1224079"/>
    <x v="1"/>
  </r>
  <r>
    <s v="AI/ML Engineer"/>
    <x v="1"/>
    <x v="1"/>
    <x v="8"/>
    <s v="B.Tech"/>
    <x v="2"/>
    <n v="6900144"/>
    <n v="5529141"/>
    <x v="1"/>
  </r>
  <r>
    <s v="Data Scientist"/>
    <x v="2"/>
    <x v="1"/>
    <x v="3"/>
    <s v="BCA"/>
    <x v="1"/>
    <n v="1345585"/>
    <n v="979356"/>
    <x v="2"/>
  </r>
  <r>
    <s v="Data Scientist"/>
    <x v="2"/>
    <x v="1"/>
    <x v="0"/>
    <s v="M.Tech"/>
    <x v="2"/>
    <n v="2038531"/>
    <n v="1491112"/>
    <x v="2"/>
  </r>
  <r>
    <s v="Data Analyst"/>
    <x v="2"/>
    <x v="1"/>
    <x v="6"/>
    <s v="M.Sc"/>
    <x v="3"/>
    <n v="1650391"/>
    <n v="1263882"/>
    <x v="0"/>
  </r>
  <r>
    <s v="AI/ML Engineer"/>
    <x v="1"/>
    <x v="0"/>
    <x v="8"/>
    <s v="BCA"/>
    <x v="0"/>
    <n v="6415680"/>
    <n v="5022459"/>
    <x v="1"/>
  </r>
  <r>
    <s v="Analytics Consultant"/>
    <x v="2"/>
    <x v="0"/>
    <x v="6"/>
    <s v="M.Tech"/>
    <x v="1"/>
    <n v="2290085"/>
    <n v="1672267"/>
    <x v="0"/>
  </r>
  <r>
    <s v="AI/ML Engineer"/>
    <x v="0"/>
    <x v="0"/>
    <x v="4"/>
    <s v="M.Sc"/>
    <x v="2"/>
    <n v="973943"/>
    <n v="704948"/>
    <x v="1"/>
  </r>
  <r>
    <s v="AI/ML Engineer"/>
    <x v="1"/>
    <x v="0"/>
    <x v="7"/>
    <s v="M.Tech"/>
    <x v="0"/>
    <n v="4964057"/>
    <n v="3743212"/>
    <x v="1"/>
  </r>
  <r>
    <s v="Analytics Consultant"/>
    <x v="0"/>
    <x v="0"/>
    <x v="5"/>
    <s v="BCA"/>
    <x v="3"/>
    <n v="1154536"/>
    <n v="888166"/>
    <x v="0"/>
  </r>
  <r>
    <s v="AI/ML Engineer"/>
    <x v="2"/>
    <x v="0"/>
    <x v="4"/>
    <s v="M.Sc"/>
    <x v="3"/>
    <n v="2999667"/>
    <n v="2350938"/>
    <x v="1"/>
  </r>
  <r>
    <s v="Analytics Consultant"/>
    <x v="1"/>
    <x v="1"/>
    <x v="6"/>
    <s v="PhD"/>
    <x v="0"/>
    <n v="3343487"/>
    <n v="2637448"/>
    <x v="0"/>
  </r>
  <r>
    <s v="Data Analyst"/>
    <x v="1"/>
    <x v="0"/>
    <x v="8"/>
    <s v="M.Sc"/>
    <x v="1"/>
    <n v="1950559"/>
    <n v="1501853"/>
    <x v="0"/>
  </r>
  <r>
    <s v="AI Researcher"/>
    <x v="0"/>
    <x v="0"/>
    <x v="2"/>
    <s v="PhD"/>
    <x v="1"/>
    <n v="904242"/>
    <n v="732450"/>
    <x v="1"/>
  </r>
  <r>
    <s v="Data Analyst"/>
    <x v="2"/>
    <x v="1"/>
    <x v="3"/>
    <s v="B.Tech"/>
    <x v="1"/>
    <n v="1610267"/>
    <n v="1287701"/>
    <x v="0"/>
  </r>
  <r>
    <s v="Analytics Consultant"/>
    <x v="1"/>
    <x v="1"/>
    <x v="7"/>
    <s v="M.Tech"/>
    <x v="0"/>
    <n v="3991065"/>
    <n v="2846048"/>
    <x v="0"/>
  </r>
  <r>
    <s v="Big Data Engineer"/>
    <x v="2"/>
    <x v="1"/>
    <x v="4"/>
    <s v="M.Tech"/>
    <x v="2"/>
    <n v="1655485"/>
    <n v="1244924"/>
    <x v="2"/>
  </r>
  <r>
    <s v="AI/ML Engineer"/>
    <x v="1"/>
    <x v="0"/>
    <x v="7"/>
    <s v="B.Tech"/>
    <x v="1"/>
    <n v="3104329"/>
    <n v="2506020"/>
    <x v="1"/>
  </r>
  <r>
    <s v="Big Data Engineer"/>
    <x v="0"/>
    <x v="0"/>
    <x v="5"/>
    <s v="BCA"/>
    <x v="0"/>
    <n v="984542"/>
    <n v="704292"/>
    <x v="2"/>
  </r>
  <r>
    <s v="Data Analyst"/>
    <x v="1"/>
    <x v="0"/>
    <x v="7"/>
    <s v="MCA"/>
    <x v="2"/>
    <n v="2829363"/>
    <n v="2148900"/>
    <x v="0"/>
  </r>
  <r>
    <s v="Analytics Consultant"/>
    <x v="2"/>
    <x v="1"/>
    <x v="5"/>
    <s v="M.Sc"/>
    <x v="1"/>
    <n v="1928763"/>
    <n v="1451509"/>
    <x v="0"/>
  </r>
  <r>
    <s v="AI Researcher"/>
    <x v="1"/>
    <x v="0"/>
    <x v="3"/>
    <s v="MCA"/>
    <x v="2"/>
    <n v="3830376"/>
    <n v="3103413"/>
    <x v="1"/>
  </r>
  <r>
    <s v="AI Researcher"/>
    <x v="0"/>
    <x v="0"/>
    <x v="7"/>
    <s v="M.Sc"/>
    <x v="0"/>
    <n v="956208"/>
    <n v="780875"/>
    <x v="1"/>
  </r>
  <r>
    <s v="Big Data Engineer"/>
    <x v="0"/>
    <x v="1"/>
    <x v="4"/>
    <s v="B.Tech"/>
    <x v="0"/>
    <n v="803291"/>
    <n v="651966"/>
    <x v="2"/>
  </r>
  <r>
    <s v="AI/ML Engineer"/>
    <x v="1"/>
    <x v="1"/>
    <x v="8"/>
    <s v="B.Sc"/>
    <x v="1"/>
    <n v="4712524"/>
    <n v="3712848"/>
    <x v="1"/>
  </r>
  <r>
    <s v="Big Data Engineer"/>
    <x v="0"/>
    <x v="0"/>
    <x v="4"/>
    <s v="BCA"/>
    <x v="0"/>
    <n v="847091"/>
    <n v="658094"/>
    <x v="2"/>
  </r>
  <r>
    <s v="AI Researcher"/>
    <x v="1"/>
    <x v="1"/>
    <x v="6"/>
    <s v="PhD"/>
    <x v="1"/>
    <n v="5923843"/>
    <n v="4157752"/>
    <x v="1"/>
  </r>
  <r>
    <s v="Data Analyst"/>
    <x v="2"/>
    <x v="0"/>
    <x v="6"/>
    <s v="B.Sc"/>
    <x v="3"/>
    <n v="1297379"/>
    <n v="953710"/>
    <x v="0"/>
  </r>
  <r>
    <s v="AI Researcher"/>
    <x v="1"/>
    <x v="1"/>
    <x v="2"/>
    <s v="M.Tech"/>
    <x v="1"/>
    <n v="4122441"/>
    <n v="3216224"/>
    <x v="1"/>
  </r>
  <r>
    <s v="Data Scientist"/>
    <x v="2"/>
    <x v="1"/>
    <x v="3"/>
    <s v="B.Tech"/>
    <x v="0"/>
    <n v="2343311"/>
    <n v="1900123"/>
    <x v="2"/>
  </r>
  <r>
    <s v="Data Analyst"/>
    <x v="2"/>
    <x v="0"/>
    <x v="4"/>
    <s v="M.Sc"/>
    <x v="0"/>
    <n v="1787680"/>
    <n v="1334080"/>
    <x v="0"/>
  </r>
  <r>
    <s v="Big Data Engineer"/>
    <x v="2"/>
    <x v="1"/>
    <x v="2"/>
    <s v="B.Tech"/>
    <x v="3"/>
    <n v="1254089"/>
    <n v="977626"/>
    <x v="2"/>
  </r>
  <r>
    <s v="Analytics Consultant"/>
    <x v="0"/>
    <x v="1"/>
    <x v="3"/>
    <s v="M.Tech"/>
    <x v="2"/>
    <n v="706197"/>
    <n v="574585"/>
    <x v="0"/>
  </r>
  <r>
    <s v="Big Data Engineer"/>
    <x v="0"/>
    <x v="0"/>
    <x v="2"/>
    <s v="M.Tech"/>
    <x v="3"/>
    <n v="668909"/>
    <n v="533742"/>
    <x v="2"/>
  </r>
  <r>
    <s v="AI Researcher"/>
    <x v="1"/>
    <x v="1"/>
    <x v="1"/>
    <s v="PhD"/>
    <x v="2"/>
    <n v="6758994"/>
    <n v="5281891"/>
    <x v="1"/>
  </r>
  <r>
    <s v="AI Researcher"/>
    <x v="2"/>
    <x v="0"/>
    <x v="8"/>
    <s v="MCA"/>
    <x v="0"/>
    <n v="3076810"/>
    <n v="2292947"/>
    <x v="1"/>
  </r>
  <r>
    <s v="AI/ML Engineer"/>
    <x v="1"/>
    <x v="0"/>
    <x v="2"/>
    <s v="M.Tech"/>
    <x v="3"/>
    <n v="4043085"/>
    <n v="3228423"/>
    <x v="1"/>
  </r>
  <r>
    <s v="Big Data Engineer"/>
    <x v="1"/>
    <x v="0"/>
    <x v="3"/>
    <s v="PhD"/>
    <x v="1"/>
    <n v="5262703"/>
    <n v="3853308"/>
    <x v="2"/>
  </r>
  <r>
    <s v="Data Analyst"/>
    <x v="0"/>
    <x v="0"/>
    <x v="4"/>
    <s v="B.Tech"/>
    <x v="2"/>
    <n v="708319"/>
    <n v="525595"/>
    <x v="0"/>
  </r>
  <r>
    <s v="Data Analyst"/>
    <x v="0"/>
    <x v="1"/>
    <x v="6"/>
    <s v="BCA"/>
    <x v="0"/>
    <n v="569366"/>
    <n v="444430"/>
    <x v="0"/>
  </r>
  <r>
    <s v="Analytics Consultant"/>
    <x v="1"/>
    <x v="0"/>
    <x v="7"/>
    <s v="M.Tech"/>
    <x v="0"/>
    <n v="3118062"/>
    <n v="2552851"/>
    <x v="0"/>
  </r>
  <r>
    <s v="AI/ML Engineer"/>
    <x v="1"/>
    <x v="1"/>
    <x v="4"/>
    <s v="MCA"/>
    <x v="1"/>
    <n v="6271472"/>
    <n v="4973758"/>
    <x v="1"/>
  </r>
  <r>
    <s v="Data Scientist"/>
    <x v="2"/>
    <x v="0"/>
    <x v="8"/>
    <s v="BCA"/>
    <x v="3"/>
    <n v="1989836"/>
    <n v="1451962"/>
    <x v="2"/>
  </r>
  <r>
    <s v="Data Analyst"/>
    <x v="1"/>
    <x v="1"/>
    <x v="5"/>
    <s v="B.Tech"/>
    <x v="2"/>
    <n v="2180553"/>
    <n v="1622621"/>
    <x v="0"/>
  </r>
  <r>
    <s v="Analytics Consultant"/>
    <x v="1"/>
    <x v="0"/>
    <x v="8"/>
    <s v="B.Sc"/>
    <x v="3"/>
    <n v="2624012"/>
    <n v="1950215"/>
    <x v="0"/>
  </r>
  <r>
    <s v="Big Data Engineer"/>
    <x v="1"/>
    <x v="1"/>
    <x v="2"/>
    <s v="M.Tech"/>
    <x v="0"/>
    <n v="4443894"/>
    <n v="3330230"/>
    <x v="2"/>
  </r>
  <r>
    <s v="Data Analyst"/>
    <x v="2"/>
    <x v="1"/>
    <x v="6"/>
    <s v="BCA"/>
    <x v="1"/>
    <n v="1276611"/>
    <n v="1029439"/>
    <x v="0"/>
  </r>
  <r>
    <s v="Data Analyst"/>
    <x v="2"/>
    <x v="1"/>
    <x v="7"/>
    <s v="M.Tech"/>
    <x v="2"/>
    <n v="1540093"/>
    <n v="1200132"/>
    <x v="0"/>
  </r>
  <r>
    <s v="Data Scientist"/>
    <x v="0"/>
    <x v="1"/>
    <x v="6"/>
    <s v="M.Tech"/>
    <x v="1"/>
    <n v="654419"/>
    <n v="536164"/>
    <x v="2"/>
  </r>
  <r>
    <s v="Data Scientist"/>
    <x v="1"/>
    <x v="1"/>
    <x v="3"/>
    <s v="PhD"/>
    <x v="2"/>
    <n v="5983949"/>
    <n v="4834773"/>
    <x v="2"/>
  </r>
  <r>
    <s v="AI Researcher"/>
    <x v="1"/>
    <x v="0"/>
    <x v="6"/>
    <s v="MCA"/>
    <x v="3"/>
    <n v="6508163"/>
    <n v="5197742"/>
    <x v="1"/>
  </r>
  <r>
    <s v="AI/ML Engineer"/>
    <x v="1"/>
    <x v="1"/>
    <x v="6"/>
    <s v="MCA"/>
    <x v="1"/>
    <n v="3203645"/>
    <n v="2369863"/>
    <x v="1"/>
  </r>
  <r>
    <s v="Data Scientist"/>
    <x v="1"/>
    <x v="1"/>
    <x v="2"/>
    <s v="M.Tech"/>
    <x v="2"/>
    <n v="5231730"/>
    <n v="4282050"/>
    <x v="2"/>
  </r>
  <r>
    <s v="Data Analyst"/>
    <x v="1"/>
    <x v="0"/>
    <x v="5"/>
    <s v="M.Tech"/>
    <x v="2"/>
    <n v="2700635"/>
    <n v="1907634"/>
    <x v="0"/>
  </r>
  <r>
    <s v="AI Researcher"/>
    <x v="0"/>
    <x v="1"/>
    <x v="6"/>
    <s v="M.Tech"/>
    <x v="1"/>
    <n v="1059137"/>
    <n v="802081"/>
    <x v="1"/>
  </r>
  <r>
    <s v="Data Analyst"/>
    <x v="2"/>
    <x v="1"/>
    <x v="7"/>
    <s v="PhD"/>
    <x v="0"/>
    <n v="1318704"/>
    <n v="942556"/>
    <x v="0"/>
  </r>
  <r>
    <s v="Big Data Engineer"/>
    <x v="0"/>
    <x v="1"/>
    <x v="4"/>
    <s v="M.Tech"/>
    <x v="0"/>
    <n v="505749"/>
    <n v="375877"/>
    <x v="2"/>
  </r>
  <r>
    <s v="Analytics Consultant"/>
    <x v="0"/>
    <x v="1"/>
    <x v="8"/>
    <s v="BCA"/>
    <x v="2"/>
    <n v="529562"/>
    <n v="406419"/>
    <x v="0"/>
  </r>
  <r>
    <s v="Analytics Consultant"/>
    <x v="0"/>
    <x v="0"/>
    <x v="3"/>
    <s v="BCA"/>
    <x v="3"/>
    <n v="1133606"/>
    <n v="858100"/>
    <x v="0"/>
  </r>
  <r>
    <s v="Data Analyst"/>
    <x v="0"/>
    <x v="0"/>
    <x v="0"/>
    <s v="M.Sc"/>
    <x v="1"/>
    <n v="367478"/>
    <n v="300934"/>
    <x v="0"/>
  </r>
  <r>
    <s v="Data Analyst"/>
    <x v="1"/>
    <x v="1"/>
    <x v="5"/>
    <s v="BCA"/>
    <x v="2"/>
    <n v="2820120"/>
    <n v="2016304"/>
    <x v="0"/>
  </r>
  <r>
    <s v="Big Data Engineer"/>
    <x v="2"/>
    <x v="0"/>
    <x v="5"/>
    <s v="BCA"/>
    <x v="0"/>
    <n v="2375002"/>
    <n v="1869824"/>
    <x v="2"/>
  </r>
  <r>
    <s v="AI Researcher"/>
    <x v="1"/>
    <x v="1"/>
    <x v="3"/>
    <s v="BCA"/>
    <x v="2"/>
    <n v="6071686"/>
    <n v="4953216"/>
    <x v="1"/>
  </r>
  <r>
    <s v="Data Analyst"/>
    <x v="2"/>
    <x v="1"/>
    <x v="2"/>
    <s v="M.Sc"/>
    <x v="2"/>
    <n v="1248009"/>
    <n v="930563"/>
    <x v="0"/>
  </r>
  <r>
    <s v="Big Data Engineer"/>
    <x v="1"/>
    <x v="1"/>
    <x v="5"/>
    <s v="M.Sc"/>
    <x v="2"/>
    <n v="5169546"/>
    <n v="3911153"/>
    <x v="2"/>
  </r>
  <r>
    <s v="Data Scientist"/>
    <x v="1"/>
    <x v="0"/>
    <x v="5"/>
    <s v="BCA"/>
    <x v="0"/>
    <n v="2504091"/>
    <n v="1988970"/>
    <x v="2"/>
  </r>
  <r>
    <s v="Big Data Engineer"/>
    <x v="0"/>
    <x v="1"/>
    <x v="3"/>
    <s v="B.Tech"/>
    <x v="3"/>
    <n v="645758"/>
    <n v="498463"/>
    <x v="2"/>
  </r>
  <r>
    <s v="Data Analyst"/>
    <x v="1"/>
    <x v="1"/>
    <x v="5"/>
    <s v="B.Sc"/>
    <x v="3"/>
    <n v="3197466"/>
    <n v="2280535"/>
    <x v="0"/>
  </r>
  <r>
    <s v="Analytics Consultant"/>
    <x v="0"/>
    <x v="0"/>
    <x v="1"/>
    <s v="M.Sc"/>
    <x v="2"/>
    <n v="572838"/>
    <n v="459040"/>
    <x v="0"/>
  </r>
  <r>
    <s v="Analytics Consultant"/>
    <x v="0"/>
    <x v="0"/>
    <x v="0"/>
    <s v="B.Sc"/>
    <x v="0"/>
    <n v="859751"/>
    <n v="687449"/>
    <x v="0"/>
  </r>
  <r>
    <s v="Data Scientist"/>
    <x v="2"/>
    <x v="0"/>
    <x v="6"/>
    <s v="BCA"/>
    <x v="3"/>
    <n v="1829189"/>
    <n v="1349353"/>
    <x v="2"/>
  </r>
  <r>
    <s v="AI/ML Engineer"/>
    <x v="2"/>
    <x v="1"/>
    <x v="1"/>
    <s v="MCA"/>
    <x v="1"/>
    <n v="2678042"/>
    <n v="1946773"/>
    <x v="1"/>
  </r>
  <r>
    <s v="Data Scientist"/>
    <x v="0"/>
    <x v="1"/>
    <x v="5"/>
    <s v="M.Tech"/>
    <x v="0"/>
    <n v="884172"/>
    <n v="676155"/>
    <x v="2"/>
  </r>
  <r>
    <s v="Data Analyst"/>
    <x v="1"/>
    <x v="0"/>
    <x v="0"/>
    <s v="B.Tech"/>
    <x v="1"/>
    <n v="1922410"/>
    <n v="1456403"/>
    <x v="0"/>
  </r>
  <r>
    <s v="Data Scientist"/>
    <x v="1"/>
    <x v="1"/>
    <x v="4"/>
    <s v="PhD"/>
    <x v="1"/>
    <n v="3448666"/>
    <n v="2584407"/>
    <x v="2"/>
  </r>
  <r>
    <s v="AI/ML Engineer"/>
    <x v="2"/>
    <x v="0"/>
    <x v="2"/>
    <s v="B.Tech"/>
    <x v="2"/>
    <n v="2721914"/>
    <n v="2031315"/>
    <x v="1"/>
  </r>
  <r>
    <s v="AI Researcher"/>
    <x v="2"/>
    <x v="1"/>
    <x v="1"/>
    <s v="MCA"/>
    <x v="0"/>
    <n v="2107639"/>
    <n v="1539572"/>
    <x v="1"/>
  </r>
  <r>
    <s v="Data Analyst"/>
    <x v="0"/>
    <x v="0"/>
    <x v="3"/>
    <s v="M.Sc"/>
    <x v="0"/>
    <n v="652543"/>
    <n v="473154"/>
    <x v="0"/>
  </r>
  <r>
    <s v="Big Data Engineer"/>
    <x v="1"/>
    <x v="0"/>
    <x v="0"/>
    <s v="B.Tech"/>
    <x v="0"/>
    <n v="5059808"/>
    <n v="4130788"/>
    <x v="2"/>
  </r>
  <r>
    <s v="Data Scientist"/>
    <x v="2"/>
    <x v="1"/>
    <x v="0"/>
    <s v="PhD"/>
    <x v="3"/>
    <n v="1252152"/>
    <n v="969113"/>
    <x v="2"/>
  </r>
  <r>
    <s v="AI Researcher"/>
    <x v="2"/>
    <x v="0"/>
    <x v="2"/>
    <s v="BCA"/>
    <x v="0"/>
    <n v="2890776"/>
    <n v="2306182"/>
    <x v="1"/>
  </r>
  <r>
    <s v="Data Analyst"/>
    <x v="1"/>
    <x v="1"/>
    <x v="4"/>
    <s v="B.Sc"/>
    <x v="2"/>
    <n v="2942887"/>
    <n v="2279059"/>
    <x v="0"/>
  </r>
  <r>
    <s v="Analytics Consultant"/>
    <x v="0"/>
    <x v="1"/>
    <x v="2"/>
    <s v="PhD"/>
    <x v="3"/>
    <n v="511340"/>
    <n v="368268"/>
    <x v="0"/>
  </r>
  <r>
    <s v="Data Scientist"/>
    <x v="1"/>
    <x v="1"/>
    <x v="4"/>
    <s v="M.Sc"/>
    <x v="1"/>
    <n v="2687611"/>
    <n v="1914043"/>
    <x v="2"/>
  </r>
  <r>
    <s v="AI Researcher"/>
    <x v="0"/>
    <x v="0"/>
    <x v="8"/>
    <s v="M.Sc"/>
    <x v="0"/>
    <n v="1538853"/>
    <n v="1126157"/>
    <x v="1"/>
  </r>
  <r>
    <s v="Data Scientist"/>
    <x v="1"/>
    <x v="0"/>
    <x v="2"/>
    <s v="MCA"/>
    <x v="2"/>
    <n v="4565818"/>
    <n v="3321010"/>
    <x v="2"/>
  </r>
  <r>
    <s v="Data Scientist"/>
    <x v="1"/>
    <x v="1"/>
    <x v="8"/>
    <s v="MCA"/>
    <x v="2"/>
    <n v="4142268"/>
    <n v="3031855"/>
    <x v="2"/>
  </r>
  <r>
    <s v="Data Analyst"/>
    <x v="0"/>
    <x v="0"/>
    <x v="8"/>
    <s v="B.Tech"/>
    <x v="3"/>
    <n v="571160"/>
    <n v="443429"/>
    <x v="0"/>
  </r>
  <r>
    <s v="Data Scientist"/>
    <x v="0"/>
    <x v="0"/>
    <x v="6"/>
    <s v="MCA"/>
    <x v="2"/>
    <n v="735624"/>
    <n v="586243"/>
    <x v="2"/>
  </r>
  <r>
    <s v="AI Researcher"/>
    <x v="0"/>
    <x v="0"/>
    <x v="5"/>
    <s v="B.Tech"/>
    <x v="0"/>
    <n v="1446747"/>
    <n v="1032199"/>
    <x v="1"/>
  </r>
  <r>
    <s v="Data Scientist"/>
    <x v="2"/>
    <x v="1"/>
    <x v="4"/>
    <s v="B.Sc"/>
    <x v="0"/>
    <n v="1488415"/>
    <n v="1136392"/>
    <x v="2"/>
  </r>
  <r>
    <s v="Data Analyst"/>
    <x v="0"/>
    <x v="0"/>
    <x v="7"/>
    <s v="PhD"/>
    <x v="0"/>
    <n v="775283"/>
    <n v="579273"/>
    <x v="0"/>
  </r>
  <r>
    <s v="AI Researcher"/>
    <x v="0"/>
    <x v="1"/>
    <x v="8"/>
    <s v="M.Sc"/>
    <x v="2"/>
    <n v="1029505"/>
    <n v="781715"/>
    <x v="1"/>
  </r>
  <r>
    <s v="Analytics Consultant"/>
    <x v="0"/>
    <x v="0"/>
    <x v="6"/>
    <s v="M.Sc"/>
    <x v="1"/>
    <n v="527126"/>
    <n v="407973"/>
    <x v="0"/>
  </r>
  <r>
    <s v="Data Scientist"/>
    <x v="0"/>
    <x v="0"/>
    <x v="7"/>
    <s v="MCA"/>
    <x v="2"/>
    <n v="951085"/>
    <n v="705364"/>
    <x v="2"/>
  </r>
  <r>
    <s v="Data Scientist"/>
    <x v="0"/>
    <x v="1"/>
    <x v="6"/>
    <s v="M.Sc"/>
    <x v="3"/>
    <n v="560856"/>
    <n v="445028"/>
    <x v="2"/>
  </r>
  <r>
    <s v="AI Researcher"/>
    <x v="0"/>
    <x v="1"/>
    <x v="7"/>
    <s v="PhD"/>
    <x v="3"/>
    <n v="1565421"/>
    <n v="1196913"/>
    <x v="1"/>
  </r>
  <r>
    <s v="AI Researcher"/>
    <x v="0"/>
    <x v="0"/>
    <x v="1"/>
    <s v="B.Tech"/>
    <x v="3"/>
    <n v="791069"/>
    <n v="618247"/>
    <x v="1"/>
  </r>
  <r>
    <s v="Data Scientist"/>
    <x v="1"/>
    <x v="1"/>
    <x v="0"/>
    <s v="B.Sc"/>
    <x v="2"/>
    <n v="4730618"/>
    <n v="3496699"/>
    <x v="2"/>
  </r>
  <r>
    <s v="AI Researcher"/>
    <x v="0"/>
    <x v="1"/>
    <x v="3"/>
    <s v="B.Sc"/>
    <x v="0"/>
    <n v="758470"/>
    <n v="536454"/>
    <x v="1"/>
  </r>
  <r>
    <s v="Analytics Consultant"/>
    <x v="2"/>
    <x v="0"/>
    <x v="6"/>
    <s v="M.Tech"/>
    <x v="1"/>
    <n v="1884386"/>
    <n v="1421684"/>
    <x v="0"/>
  </r>
  <r>
    <s v="Big Data Engineer"/>
    <x v="0"/>
    <x v="0"/>
    <x v="5"/>
    <s v="M.Tech"/>
    <x v="3"/>
    <n v="633204"/>
    <n v="463404"/>
    <x v="2"/>
  </r>
  <r>
    <s v="Data Analyst"/>
    <x v="2"/>
    <x v="1"/>
    <x v="6"/>
    <s v="B.Tech"/>
    <x v="2"/>
    <n v="1127875"/>
    <n v="841499"/>
    <x v="0"/>
  </r>
  <r>
    <s v="Analytics Consultant"/>
    <x v="0"/>
    <x v="1"/>
    <x v="1"/>
    <s v="M.Tech"/>
    <x v="3"/>
    <n v="534399"/>
    <n v="428824"/>
    <x v="0"/>
  </r>
  <r>
    <s v="Analytics Consultant"/>
    <x v="0"/>
    <x v="1"/>
    <x v="0"/>
    <s v="MCA"/>
    <x v="3"/>
    <n v="569899"/>
    <n v="441143"/>
    <x v="0"/>
  </r>
  <r>
    <s v="Analytics Consultant"/>
    <x v="2"/>
    <x v="1"/>
    <x v="6"/>
    <s v="M.Tech"/>
    <x v="1"/>
    <n v="1473881"/>
    <n v="1092909"/>
    <x v="0"/>
  </r>
  <r>
    <s v="AI/ML Engineer"/>
    <x v="2"/>
    <x v="0"/>
    <x v="5"/>
    <s v="BCA"/>
    <x v="2"/>
    <n v="1684065"/>
    <n v="1342450"/>
    <x v="1"/>
  </r>
  <r>
    <s v="Data Scientist"/>
    <x v="1"/>
    <x v="0"/>
    <x v="4"/>
    <s v="MCA"/>
    <x v="2"/>
    <n v="4035643"/>
    <n v="3229412"/>
    <x v="2"/>
  </r>
  <r>
    <s v="Data Analyst"/>
    <x v="1"/>
    <x v="0"/>
    <x v="4"/>
    <s v="M.Sc"/>
    <x v="1"/>
    <n v="2004091"/>
    <n v="1635971"/>
    <x v="0"/>
  </r>
  <r>
    <s v="AI/ML Engineer"/>
    <x v="2"/>
    <x v="0"/>
    <x v="7"/>
    <s v="M.Tech"/>
    <x v="2"/>
    <n v="2266353"/>
    <n v="1814422"/>
    <x v="1"/>
  </r>
  <r>
    <s v="AI/ML Engineer"/>
    <x v="1"/>
    <x v="0"/>
    <x v="7"/>
    <s v="BCA"/>
    <x v="1"/>
    <n v="4410023"/>
    <n v="3219021"/>
    <x v="1"/>
  </r>
  <r>
    <s v="AI Researcher"/>
    <x v="1"/>
    <x v="0"/>
    <x v="4"/>
    <s v="B.Tech"/>
    <x v="2"/>
    <n v="6864015"/>
    <n v="5325125"/>
    <x v="1"/>
  </r>
  <r>
    <s v="Analytics Consultant"/>
    <x v="2"/>
    <x v="1"/>
    <x v="8"/>
    <s v="BCA"/>
    <x v="2"/>
    <n v="2482242"/>
    <n v="1972773"/>
    <x v="0"/>
  </r>
  <r>
    <s v="AI Researcher"/>
    <x v="0"/>
    <x v="1"/>
    <x v="5"/>
    <s v="B.Sc"/>
    <x v="0"/>
    <n v="838156"/>
    <n v="640393"/>
    <x v="1"/>
  </r>
  <r>
    <s v="Data Analyst"/>
    <x v="1"/>
    <x v="0"/>
    <x v="6"/>
    <s v="B.Sc"/>
    <x v="0"/>
    <n v="2666841"/>
    <n v="2089177"/>
    <x v="0"/>
  </r>
  <r>
    <s v="Analytics Consultant"/>
    <x v="2"/>
    <x v="1"/>
    <x v="8"/>
    <s v="B.Tech"/>
    <x v="0"/>
    <n v="2376492"/>
    <n v="1694348"/>
    <x v="0"/>
  </r>
  <r>
    <s v="Analytics Consultant"/>
    <x v="2"/>
    <x v="0"/>
    <x v="6"/>
    <s v="BCA"/>
    <x v="3"/>
    <n v="2487113"/>
    <n v="1917891"/>
    <x v="0"/>
  </r>
  <r>
    <s v="Data Scientist"/>
    <x v="2"/>
    <x v="1"/>
    <x v="6"/>
    <s v="MCA"/>
    <x v="0"/>
    <n v="1254795"/>
    <n v="959590"/>
    <x v="2"/>
  </r>
  <r>
    <s v="Analytics Consultant"/>
    <x v="1"/>
    <x v="1"/>
    <x v="6"/>
    <s v="MCA"/>
    <x v="0"/>
    <n v="4887040"/>
    <n v="3804734"/>
    <x v="0"/>
  </r>
  <r>
    <s v="Big Data Engineer"/>
    <x v="2"/>
    <x v="0"/>
    <x v="8"/>
    <s v="MCA"/>
    <x v="2"/>
    <n v="1480010"/>
    <n v="1110614"/>
    <x v="2"/>
  </r>
  <r>
    <s v="AI/ML Engineer"/>
    <x v="2"/>
    <x v="0"/>
    <x v="6"/>
    <s v="MCA"/>
    <x v="1"/>
    <n v="2223747"/>
    <n v="1594594"/>
    <x v="1"/>
  </r>
  <r>
    <s v="Analytics Consultant"/>
    <x v="1"/>
    <x v="1"/>
    <x v="8"/>
    <s v="M.Sc"/>
    <x v="0"/>
    <n v="4298447"/>
    <n v="3037950"/>
    <x v="0"/>
  </r>
  <r>
    <s v="AI Researcher"/>
    <x v="1"/>
    <x v="1"/>
    <x v="0"/>
    <s v="M.Sc"/>
    <x v="2"/>
    <n v="3795741"/>
    <n v="3008970"/>
    <x v="1"/>
  </r>
  <r>
    <s v="AI Researcher"/>
    <x v="0"/>
    <x v="1"/>
    <x v="3"/>
    <s v="B.Sc"/>
    <x v="2"/>
    <n v="740786"/>
    <n v="533041"/>
    <x v="1"/>
  </r>
  <r>
    <s v="Data Analyst"/>
    <x v="1"/>
    <x v="0"/>
    <x v="5"/>
    <s v="PhD"/>
    <x v="1"/>
    <n v="2157593"/>
    <n v="1674902"/>
    <x v="0"/>
  </r>
  <r>
    <s v="Data Scientist"/>
    <x v="0"/>
    <x v="0"/>
    <x v="7"/>
    <s v="B.Sc"/>
    <x v="1"/>
    <n v="1092564"/>
    <n v="875646"/>
    <x v="2"/>
  </r>
  <r>
    <s v="Data Scientist"/>
    <x v="1"/>
    <x v="0"/>
    <x v="2"/>
    <s v="M.Tech"/>
    <x v="3"/>
    <n v="3764573"/>
    <n v="2793314"/>
    <x v="2"/>
  </r>
  <r>
    <s v="Data Analyst"/>
    <x v="0"/>
    <x v="1"/>
    <x v="3"/>
    <s v="B.Tech"/>
    <x v="0"/>
    <n v="559614"/>
    <n v="412262"/>
    <x v="0"/>
  </r>
  <r>
    <s v="Big Data Engineer"/>
    <x v="2"/>
    <x v="1"/>
    <x v="6"/>
    <s v="BCA"/>
    <x v="0"/>
    <n v="2474087"/>
    <n v="1886638"/>
    <x v="2"/>
  </r>
  <r>
    <s v="Data Analyst"/>
    <x v="0"/>
    <x v="1"/>
    <x v="6"/>
    <s v="BCA"/>
    <x v="1"/>
    <n v="633463"/>
    <n v="456267"/>
    <x v="0"/>
  </r>
  <r>
    <s v="Data Scientist"/>
    <x v="1"/>
    <x v="0"/>
    <x v="4"/>
    <s v="M.Sc"/>
    <x v="2"/>
    <n v="5438610"/>
    <n v="4064037"/>
    <x v="2"/>
  </r>
  <r>
    <s v="Big Data Engineer"/>
    <x v="1"/>
    <x v="0"/>
    <x v="8"/>
    <s v="B.Sc"/>
    <x v="2"/>
    <n v="2594335"/>
    <n v="2056625"/>
    <x v="2"/>
  </r>
  <r>
    <s v="Big Data Engineer"/>
    <x v="1"/>
    <x v="1"/>
    <x v="2"/>
    <s v="BCA"/>
    <x v="1"/>
    <n v="5388549"/>
    <n v="4162599"/>
    <x v="2"/>
  </r>
  <r>
    <s v="Data Analyst"/>
    <x v="1"/>
    <x v="1"/>
    <x v="3"/>
    <s v="PhD"/>
    <x v="2"/>
    <n v="2835254"/>
    <n v="2324446"/>
    <x v="0"/>
  </r>
  <r>
    <s v="Analytics Consultant"/>
    <x v="1"/>
    <x v="0"/>
    <x v="7"/>
    <s v="M.Sc"/>
    <x v="2"/>
    <n v="4356241"/>
    <n v="3337557"/>
    <x v="0"/>
  </r>
  <r>
    <s v="Analytics Consultant"/>
    <x v="1"/>
    <x v="1"/>
    <x v="4"/>
    <s v="M.Sc"/>
    <x v="3"/>
    <n v="3275228"/>
    <n v="2305313"/>
    <x v="0"/>
  </r>
  <r>
    <s v="Big Data Engineer"/>
    <x v="1"/>
    <x v="1"/>
    <x v="6"/>
    <s v="BCA"/>
    <x v="1"/>
    <n v="5385174"/>
    <n v="4037116"/>
    <x v="2"/>
  </r>
  <r>
    <s v="AI Researcher"/>
    <x v="2"/>
    <x v="1"/>
    <x v="4"/>
    <s v="MCA"/>
    <x v="3"/>
    <n v="1968876"/>
    <n v="1496870"/>
    <x v="1"/>
  </r>
  <r>
    <s v="AI/ML Engineer"/>
    <x v="2"/>
    <x v="0"/>
    <x v="6"/>
    <s v="PhD"/>
    <x v="0"/>
    <n v="2738466"/>
    <n v="2123627"/>
    <x v="1"/>
  </r>
  <r>
    <s v="Data Analyst"/>
    <x v="1"/>
    <x v="1"/>
    <x v="8"/>
    <s v="MCA"/>
    <x v="2"/>
    <n v="1889546"/>
    <n v="1325872"/>
    <x v="0"/>
  </r>
  <r>
    <s v="AI/ML Engineer"/>
    <x v="1"/>
    <x v="0"/>
    <x v="5"/>
    <s v="BCA"/>
    <x v="1"/>
    <n v="3449978"/>
    <n v="2474309"/>
    <x v="1"/>
  </r>
  <r>
    <s v="Data Scientist"/>
    <x v="1"/>
    <x v="0"/>
    <x v="2"/>
    <s v="MCA"/>
    <x v="3"/>
    <n v="3424294"/>
    <n v="2707496"/>
    <x v="2"/>
  </r>
  <r>
    <s v="AI/ML Engineer"/>
    <x v="2"/>
    <x v="1"/>
    <x v="1"/>
    <s v="BCA"/>
    <x v="3"/>
    <n v="2363526"/>
    <n v="1677437"/>
    <x v="1"/>
  </r>
  <r>
    <s v="Big Data Engineer"/>
    <x v="2"/>
    <x v="0"/>
    <x v="2"/>
    <s v="M.Sc"/>
    <x v="2"/>
    <n v="1716337"/>
    <n v="1277692"/>
    <x v="2"/>
  </r>
  <r>
    <s v="AI Researcher"/>
    <x v="0"/>
    <x v="0"/>
    <x v="8"/>
    <s v="B.Tech"/>
    <x v="1"/>
    <n v="1233347"/>
    <n v="950819"/>
    <x v="1"/>
  </r>
  <r>
    <s v="Data Analyst"/>
    <x v="1"/>
    <x v="1"/>
    <x v="1"/>
    <s v="B.Sc"/>
    <x v="2"/>
    <n v="3334456"/>
    <n v="2682340"/>
    <x v="0"/>
  </r>
  <r>
    <s v="Data Analyst"/>
    <x v="2"/>
    <x v="0"/>
    <x v="5"/>
    <s v="MCA"/>
    <x v="1"/>
    <n v="1215615"/>
    <n v="879874"/>
    <x v="0"/>
  </r>
  <r>
    <s v="Data Scientist"/>
    <x v="1"/>
    <x v="1"/>
    <x v="0"/>
    <s v="M.Tech"/>
    <x v="2"/>
    <n v="4232055"/>
    <n v="2966983"/>
    <x v="2"/>
  </r>
  <r>
    <s v="Data Scientist"/>
    <x v="1"/>
    <x v="1"/>
    <x v="4"/>
    <s v="M.Tech"/>
    <x v="1"/>
    <n v="4373990"/>
    <n v="3151082"/>
    <x v="2"/>
  </r>
  <r>
    <s v="AI Researcher"/>
    <x v="1"/>
    <x v="0"/>
    <x v="4"/>
    <s v="BCA"/>
    <x v="1"/>
    <n v="6174899"/>
    <n v="4715487"/>
    <x v="1"/>
  </r>
  <r>
    <s v="AI Researcher"/>
    <x v="1"/>
    <x v="1"/>
    <x v="3"/>
    <s v="B.Sc"/>
    <x v="1"/>
    <n v="4531412"/>
    <n v="3351763"/>
    <x v="1"/>
  </r>
  <r>
    <s v="Analytics Consultant"/>
    <x v="2"/>
    <x v="0"/>
    <x v="6"/>
    <s v="PhD"/>
    <x v="2"/>
    <n v="1328245"/>
    <n v="1000675"/>
    <x v="0"/>
  </r>
  <r>
    <s v="Data Scientist"/>
    <x v="2"/>
    <x v="0"/>
    <x v="1"/>
    <s v="M.Sc"/>
    <x v="3"/>
    <n v="1900471"/>
    <n v="1423684"/>
    <x v="2"/>
  </r>
  <r>
    <s v="Analytics Consultant"/>
    <x v="2"/>
    <x v="1"/>
    <x v="1"/>
    <s v="PhD"/>
    <x v="0"/>
    <n v="2034776"/>
    <n v="1436197"/>
    <x v="0"/>
  </r>
  <r>
    <s v="Big Data Engineer"/>
    <x v="0"/>
    <x v="0"/>
    <x v="1"/>
    <s v="M.Tech"/>
    <x v="2"/>
    <n v="678973"/>
    <n v="484800"/>
    <x v="2"/>
  </r>
  <r>
    <s v="Big Data Engineer"/>
    <x v="0"/>
    <x v="0"/>
    <x v="8"/>
    <s v="MCA"/>
    <x v="1"/>
    <n v="750945"/>
    <n v="592706"/>
    <x v="2"/>
  </r>
  <r>
    <s v="Analytics Consultant"/>
    <x v="0"/>
    <x v="0"/>
    <x v="5"/>
    <s v="M.Sc"/>
    <x v="2"/>
    <n v="1167909"/>
    <n v="891496"/>
    <x v="0"/>
  </r>
  <r>
    <s v="AI/ML Engineer"/>
    <x v="2"/>
    <x v="1"/>
    <x v="5"/>
    <s v="M.Sc"/>
    <x v="3"/>
    <n v="2545491"/>
    <n v="2026718"/>
    <x v="1"/>
  </r>
  <r>
    <s v="Data Scientist"/>
    <x v="0"/>
    <x v="1"/>
    <x v="1"/>
    <s v="B.Tech"/>
    <x v="3"/>
    <n v="1102569"/>
    <n v="854560"/>
    <x v="2"/>
  </r>
  <r>
    <s v="Data Scientist"/>
    <x v="2"/>
    <x v="1"/>
    <x v="8"/>
    <s v="PhD"/>
    <x v="1"/>
    <n v="1772361"/>
    <n v="1356227"/>
    <x v="2"/>
  </r>
  <r>
    <s v="AI Researcher"/>
    <x v="0"/>
    <x v="1"/>
    <x v="2"/>
    <s v="BCA"/>
    <x v="3"/>
    <n v="1524388"/>
    <n v="1097418"/>
    <x v="1"/>
  </r>
  <r>
    <s v="AI Researcher"/>
    <x v="0"/>
    <x v="0"/>
    <x v="5"/>
    <s v="M.Sc"/>
    <x v="2"/>
    <n v="1295031"/>
    <n v="1010696"/>
    <x v="1"/>
  </r>
  <r>
    <s v="Big Data Engineer"/>
    <x v="2"/>
    <x v="1"/>
    <x v="0"/>
    <s v="B.Sc"/>
    <x v="2"/>
    <n v="2165246"/>
    <n v="1549907"/>
    <x v="2"/>
  </r>
  <r>
    <s v="Data Analyst"/>
    <x v="1"/>
    <x v="0"/>
    <x v="6"/>
    <s v="M.Tech"/>
    <x v="0"/>
    <n v="3147610"/>
    <n v="2415096"/>
    <x v="0"/>
  </r>
  <r>
    <s v="AI/ML Engineer"/>
    <x v="1"/>
    <x v="1"/>
    <x v="7"/>
    <s v="BCA"/>
    <x v="1"/>
    <n v="4662352"/>
    <n v="3438880"/>
    <x v="1"/>
  </r>
  <r>
    <s v="AI Researcher"/>
    <x v="1"/>
    <x v="0"/>
    <x v="2"/>
    <s v="BCA"/>
    <x v="3"/>
    <n v="3749576"/>
    <n v="2685938"/>
    <x v="1"/>
  </r>
  <r>
    <s v="Analytics Consultant"/>
    <x v="2"/>
    <x v="1"/>
    <x v="0"/>
    <s v="M.Tech"/>
    <x v="0"/>
    <n v="1697568"/>
    <n v="1363637"/>
    <x v="0"/>
  </r>
  <r>
    <s v="Big Data Engineer"/>
    <x v="0"/>
    <x v="0"/>
    <x v="2"/>
    <s v="B.Tech"/>
    <x v="0"/>
    <n v="792372"/>
    <n v="576391"/>
    <x v="2"/>
  </r>
  <r>
    <s v="Analytics Consultant"/>
    <x v="2"/>
    <x v="0"/>
    <x v="6"/>
    <s v="PhD"/>
    <x v="1"/>
    <n v="1585030"/>
    <n v="1121919"/>
    <x v="0"/>
  </r>
  <r>
    <s v="AI/ML Engineer"/>
    <x v="2"/>
    <x v="1"/>
    <x v="4"/>
    <s v="M.Tech"/>
    <x v="0"/>
    <n v="2898384"/>
    <n v="2248938"/>
    <x v="1"/>
  </r>
  <r>
    <s v="Data Scientist"/>
    <x v="0"/>
    <x v="0"/>
    <x v="5"/>
    <s v="BCA"/>
    <x v="2"/>
    <n v="1126853"/>
    <n v="862730"/>
    <x v="2"/>
  </r>
  <r>
    <s v="Data Scientist"/>
    <x v="1"/>
    <x v="0"/>
    <x v="8"/>
    <s v="B.Tech"/>
    <x v="0"/>
    <n v="3047248"/>
    <n v="2250898"/>
    <x v="2"/>
  </r>
  <r>
    <s v="Data Analyst"/>
    <x v="2"/>
    <x v="0"/>
    <x v="6"/>
    <s v="B.Sc"/>
    <x v="0"/>
    <n v="1177606"/>
    <n v="877185"/>
    <x v="0"/>
  </r>
  <r>
    <s v="AI Researcher"/>
    <x v="0"/>
    <x v="0"/>
    <x v="8"/>
    <s v="B.Sc"/>
    <x v="0"/>
    <n v="1306690"/>
    <n v="946507"/>
    <x v="1"/>
  </r>
  <r>
    <s v="Data Scientist"/>
    <x v="1"/>
    <x v="0"/>
    <x v="8"/>
    <s v="PhD"/>
    <x v="2"/>
    <n v="3691827"/>
    <n v="2932687"/>
    <x v="2"/>
  </r>
  <r>
    <s v="Data Scientist"/>
    <x v="2"/>
    <x v="0"/>
    <x v="2"/>
    <s v="B.Tech"/>
    <x v="1"/>
    <n v="2029238"/>
    <n v="1486641"/>
    <x v="2"/>
  </r>
  <r>
    <s v="Data Scientist"/>
    <x v="2"/>
    <x v="1"/>
    <x v="5"/>
    <s v="M.Tech"/>
    <x v="2"/>
    <n v="1832120"/>
    <n v="1442566"/>
    <x v="2"/>
  </r>
  <r>
    <s v="Analytics Consultant"/>
    <x v="2"/>
    <x v="0"/>
    <x v="8"/>
    <s v="M.Sc"/>
    <x v="0"/>
    <n v="2152298"/>
    <n v="1559272"/>
    <x v="0"/>
  </r>
  <r>
    <s v="Data Scientist"/>
    <x v="1"/>
    <x v="1"/>
    <x v="1"/>
    <s v="MCA"/>
    <x v="0"/>
    <n v="4815065"/>
    <n v="3600016"/>
    <x v="2"/>
  </r>
  <r>
    <s v="Big Data Engineer"/>
    <x v="0"/>
    <x v="1"/>
    <x v="1"/>
    <s v="PhD"/>
    <x v="3"/>
    <n v="1120034"/>
    <n v="792547"/>
    <x v="2"/>
  </r>
  <r>
    <s v="AI/ML Engineer"/>
    <x v="2"/>
    <x v="1"/>
    <x v="8"/>
    <s v="PhD"/>
    <x v="3"/>
    <n v="2987334"/>
    <n v="2402483"/>
    <x v="1"/>
  </r>
  <r>
    <s v="Data Scientist"/>
    <x v="1"/>
    <x v="1"/>
    <x v="1"/>
    <s v="M.Tech"/>
    <x v="1"/>
    <n v="2718665"/>
    <n v="1930287"/>
    <x v="2"/>
  </r>
  <r>
    <s v="AI/ML Engineer"/>
    <x v="2"/>
    <x v="1"/>
    <x v="5"/>
    <s v="M.Tech"/>
    <x v="2"/>
    <n v="2051621"/>
    <n v="1680394"/>
    <x v="1"/>
  </r>
  <r>
    <s v="Big Data Engineer"/>
    <x v="1"/>
    <x v="0"/>
    <x v="7"/>
    <s v="BCA"/>
    <x v="0"/>
    <n v="4475339"/>
    <n v="3284277"/>
    <x v="2"/>
  </r>
  <r>
    <s v="Analytics Consultant"/>
    <x v="0"/>
    <x v="0"/>
    <x v="6"/>
    <s v="MCA"/>
    <x v="1"/>
    <n v="938790"/>
    <n v="658382"/>
    <x v="0"/>
  </r>
  <r>
    <s v="AI Researcher"/>
    <x v="0"/>
    <x v="1"/>
    <x v="2"/>
    <s v="B.Tech"/>
    <x v="3"/>
    <n v="1265318"/>
    <n v="1001815"/>
    <x v="1"/>
  </r>
  <r>
    <s v="AI Researcher"/>
    <x v="1"/>
    <x v="0"/>
    <x v="6"/>
    <s v="BCA"/>
    <x v="0"/>
    <n v="6752095"/>
    <n v="5249035"/>
    <x v="1"/>
  </r>
  <r>
    <s v="Big Data Engineer"/>
    <x v="2"/>
    <x v="0"/>
    <x v="2"/>
    <s v="M.Tech"/>
    <x v="0"/>
    <n v="1200664"/>
    <n v="938557"/>
    <x v="2"/>
  </r>
  <r>
    <s v="AI Researcher"/>
    <x v="1"/>
    <x v="0"/>
    <x v="2"/>
    <s v="PhD"/>
    <x v="3"/>
    <n v="5079223"/>
    <n v="3746800"/>
    <x v="1"/>
  </r>
  <r>
    <s v="AI/ML Engineer"/>
    <x v="0"/>
    <x v="0"/>
    <x v="1"/>
    <s v="M.Tech"/>
    <x v="1"/>
    <n v="790512"/>
    <n v="595475"/>
    <x v="1"/>
  </r>
  <r>
    <s v="AI Researcher"/>
    <x v="1"/>
    <x v="0"/>
    <x v="7"/>
    <s v="B.Tech"/>
    <x v="1"/>
    <n v="3572434"/>
    <n v="2917482"/>
    <x v="1"/>
  </r>
  <r>
    <s v="Big Data Engineer"/>
    <x v="0"/>
    <x v="0"/>
    <x v="6"/>
    <s v="BCA"/>
    <x v="3"/>
    <n v="840936"/>
    <n v="609146"/>
    <x v="2"/>
  </r>
  <r>
    <s v="AI/ML Engineer"/>
    <x v="0"/>
    <x v="0"/>
    <x v="4"/>
    <s v="BCA"/>
    <x v="1"/>
    <n v="1112767"/>
    <n v="895383"/>
    <x v="1"/>
  </r>
  <r>
    <s v="Analytics Consultant"/>
    <x v="2"/>
    <x v="0"/>
    <x v="8"/>
    <s v="BCA"/>
    <x v="0"/>
    <n v="2299976"/>
    <n v="1663389"/>
    <x v="0"/>
  </r>
  <r>
    <s v="Data Analyst"/>
    <x v="1"/>
    <x v="0"/>
    <x v="6"/>
    <s v="B.Tech"/>
    <x v="2"/>
    <n v="3313464"/>
    <n v="2649650"/>
    <x v="0"/>
  </r>
  <r>
    <s v="Data Scientist"/>
    <x v="0"/>
    <x v="0"/>
    <x v="0"/>
    <s v="B.Sc"/>
    <x v="1"/>
    <n v="477137"/>
    <n v="361521"/>
    <x v="2"/>
  </r>
  <r>
    <s v="Analytics Consultant"/>
    <x v="2"/>
    <x v="0"/>
    <x v="5"/>
    <s v="BCA"/>
    <x v="1"/>
    <n v="2333567"/>
    <n v="1853247"/>
    <x v="0"/>
  </r>
  <r>
    <s v="Big Data Engineer"/>
    <x v="1"/>
    <x v="1"/>
    <x v="7"/>
    <s v="MCA"/>
    <x v="1"/>
    <n v="2779810"/>
    <n v="2094989"/>
    <x v="2"/>
  </r>
  <r>
    <s v="AI/ML Engineer"/>
    <x v="1"/>
    <x v="0"/>
    <x v="0"/>
    <s v="B.Tech"/>
    <x v="1"/>
    <n v="6725501"/>
    <n v="4870455"/>
    <x v="1"/>
  </r>
  <r>
    <s v="Big Data Engineer"/>
    <x v="0"/>
    <x v="0"/>
    <x v="7"/>
    <s v="M.Sc"/>
    <x v="2"/>
    <n v="1019114"/>
    <n v="799633"/>
    <x v="2"/>
  </r>
  <r>
    <s v="AI Researcher"/>
    <x v="0"/>
    <x v="1"/>
    <x v="2"/>
    <s v="BCA"/>
    <x v="1"/>
    <n v="855908"/>
    <n v="609572"/>
    <x v="1"/>
  </r>
  <r>
    <s v="AI Researcher"/>
    <x v="2"/>
    <x v="0"/>
    <x v="4"/>
    <s v="BCA"/>
    <x v="0"/>
    <n v="1889679"/>
    <n v="1540978"/>
    <x v="1"/>
  </r>
  <r>
    <s v="Analytics Consultant"/>
    <x v="1"/>
    <x v="1"/>
    <x v="6"/>
    <s v="MCA"/>
    <x v="2"/>
    <n v="3824069"/>
    <n v="3087737"/>
    <x v="0"/>
  </r>
  <r>
    <s v="Big Data Engineer"/>
    <x v="2"/>
    <x v="0"/>
    <x v="3"/>
    <s v="B.Sc"/>
    <x v="1"/>
    <n v="1967415"/>
    <n v="1435244"/>
    <x v="2"/>
  </r>
  <r>
    <s v="Data Scientist"/>
    <x v="2"/>
    <x v="0"/>
    <x v="2"/>
    <s v="BCA"/>
    <x v="3"/>
    <n v="1585125"/>
    <n v="1120815"/>
    <x v="2"/>
  </r>
  <r>
    <s v="AI/ML Engineer"/>
    <x v="1"/>
    <x v="1"/>
    <x v="8"/>
    <s v="B.Sc"/>
    <x v="0"/>
    <n v="3314982"/>
    <n v="2332537"/>
    <x v="1"/>
  </r>
  <r>
    <s v="AI/ML Engineer"/>
    <x v="0"/>
    <x v="1"/>
    <x v="0"/>
    <s v="B.Sc"/>
    <x v="1"/>
    <n v="701349"/>
    <n v="564236"/>
    <x v="1"/>
  </r>
  <r>
    <s v="Analytics Consultant"/>
    <x v="0"/>
    <x v="0"/>
    <x v="5"/>
    <s v="B.Sc"/>
    <x v="1"/>
    <n v="1087687"/>
    <n v="868789"/>
    <x v="0"/>
  </r>
  <r>
    <s v="Data Analyst"/>
    <x v="2"/>
    <x v="1"/>
    <x v="0"/>
    <s v="B.Tech"/>
    <x v="2"/>
    <n v="1415487"/>
    <n v="1119799"/>
    <x v="0"/>
  </r>
  <r>
    <s v="Data Analyst"/>
    <x v="2"/>
    <x v="1"/>
    <x v="2"/>
    <s v="M.Sc"/>
    <x v="1"/>
    <n v="856049"/>
    <n v="652059"/>
    <x v="0"/>
  </r>
  <r>
    <s v="Data Analyst"/>
    <x v="2"/>
    <x v="0"/>
    <x v="8"/>
    <s v="BCA"/>
    <x v="2"/>
    <n v="991357"/>
    <n v="791679"/>
    <x v="0"/>
  </r>
  <r>
    <s v="Big Data Engineer"/>
    <x v="2"/>
    <x v="0"/>
    <x v="3"/>
    <s v="BCA"/>
    <x v="3"/>
    <n v="2192186"/>
    <n v="1748739"/>
    <x v="2"/>
  </r>
  <r>
    <s v="AI/ML Engineer"/>
    <x v="2"/>
    <x v="1"/>
    <x v="1"/>
    <s v="B.Sc"/>
    <x v="2"/>
    <n v="2116244"/>
    <n v="1693708"/>
    <x v="1"/>
  </r>
  <r>
    <s v="Big Data Engineer"/>
    <x v="1"/>
    <x v="1"/>
    <x v="5"/>
    <s v="B.Tech"/>
    <x v="1"/>
    <n v="3556916"/>
    <n v="2533985"/>
    <x v="2"/>
  </r>
  <r>
    <s v="AI/ML Engineer"/>
    <x v="2"/>
    <x v="0"/>
    <x v="4"/>
    <s v="PhD"/>
    <x v="2"/>
    <n v="2912353"/>
    <n v="2302108"/>
    <x v="1"/>
  </r>
  <r>
    <s v="Analytics Consultant"/>
    <x v="1"/>
    <x v="0"/>
    <x v="7"/>
    <s v="BCA"/>
    <x v="2"/>
    <n v="3495025"/>
    <n v="2569688"/>
    <x v="0"/>
  </r>
  <r>
    <s v="AI/ML Engineer"/>
    <x v="1"/>
    <x v="1"/>
    <x v="6"/>
    <s v="B.Tech"/>
    <x v="3"/>
    <n v="4034288"/>
    <n v="2884266"/>
    <x v="1"/>
  </r>
  <r>
    <s v="Data Scientist"/>
    <x v="2"/>
    <x v="1"/>
    <x v="4"/>
    <s v="MCA"/>
    <x v="3"/>
    <n v="1725138"/>
    <n v="1327682"/>
    <x v="2"/>
  </r>
  <r>
    <s v="AI Researcher"/>
    <x v="1"/>
    <x v="1"/>
    <x v="4"/>
    <s v="M.Tech"/>
    <x v="1"/>
    <n v="5403224"/>
    <n v="4313575"/>
    <x v="1"/>
  </r>
  <r>
    <s v="AI/ML Engineer"/>
    <x v="1"/>
    <x v="0"/>
    <x v="8"/>
    <s v="B.Tech"/>
    <x v="1"/>
    <n v="5433558"/>
    <n v="4130565"/>
    <x v="1"/>
  </r>
  <r>
    <s v="Data Analyst"/>
    <x v="2"/>
    <x v="1"/>
    <x v="8"/>
    <s v="M.Sc"/>
    <x v="0"/>
    <n v="1464872"/>
    <n v="1140824"/>
    <x v="0"/>
  </r>
  <r>
    <s v="Data Analyst"/>
    <x v="1"/>
    <x v="0"/>
    <x v="1"/>
    <s v="B.Tech"/>
    <x v="1"/>
    <n v="2494446"/>
    <n v="1897082"/>
    <x v="0"/>
  </r>
  <r>
    <s v="Data Analyst"/>
    <x v="2"/>
    <x v="0"/>
    <x v="7"/>
    <s v="B.Sc"/>
    <x v="0"/>
    <n v="1737584"/>
    <n v="1388293"/>
    <x v="0"/>
  </r>
  <r>
    <s v="Data Analyst"/>
    <x v="2"/>
    <x v="0"/>
    <x v="3"/>
    <s v="PhD"/>
    <x v="0"/>
    <n v="973495"/>
    <n v="687818"/>
    <x v="0"/>
  </r>
  <r>
    <s v="AI/ML Engineer"/>
    <x v="2"/>
    <x v="1"/>
    <x v="7"/>
    <s v="PhD"/>
    <x v="1"/>
    <n v="1926087"/>
    <n v="1376869"/>
    <x v="1"/>
  </r>
  <r>
    <s v="AI Researcher"/>
    <x v="1"/>
    <x v="0"/>
    <x v="6"/>
    <s v="MCA"/>
    <x v="2"/>
    <n v="3863418"/>
    <n v="3020670"/>
    <x v="1"/>
  </r>
  <r>
    <s v="Big Data Engineer"/>
    <x v="2"/>
    <x v="0"/>
    <x v="7"/>
    <s v="BCA"/>
    <x v="2"/>
    <n v="2006735"/>
    <n v="1550118"/>
    <x v="2"/>
  </r>
  <r>
    <s v="Data Scientist"/>
    <x v="2"/>
    <x v="0"/>
    <x v="0"/>
    <s v="M.Tech"/>
    <x v="3"/>
    <n v="1283266"/>
    <n v="1010669"/>
    <x v="2"/>
  </r>
  <r>
    <s v="Data Analyst"/>
    <x v="0"/>
    <x v="0"/>
    <x v="7"/>
    <s v="BCA"/>
    <x v="2"/>
    <n v="422876"/>
    <n v="316842"/>
    <x v="0"/>
  </r>
  <r>
    <s v="Analytics Consultant"/>
    <x v="0"/>
    <x v="1"/>
    <x v="1"/>
    <s v="B.Tech"/>
    <x v="3"/>
    <n v="1152236"/>
    <n v="934314"/>
    <x v="0"/>
  </r>
  <r>
    <s v="AI Researcher"/>
    <x v="1"/>
    <x v="0"/>
    <x v="3"/>
    <s v="B.Tech"/>
    <x v="3"/>
    <n v="4475345"/>
    <n v="3622330"/>
    <x v="1"/>
  </r>
  <r>
    <s v="Analytics Consultant"/>
    <x v="1"/>
    <x v="1"/>
    <x v="1"/>
    <s v="BCA"/>
    <x v="2"/>
    <n v="3460452"/>
    <n v="2478575"/>
    <x v="0"/>
  </r>
  <r>
    <s v="AI/ML Engineer"/>
    <x v="0"/>
    <x v="1"/>
    <x v="6"/>
    <s v="BCA"/>
    <x v="0"/>
    <n v="769420"/>
    <n v="598861"/>
    <x v="1"/>
  </r>
  <r>
    <s v="AI/ML Engineer"/>
    <x v="0"/>
    <x v="1"/>
    <x v="5"/>
    <s v="M.Sc"/>
    <x v="2"/>
    <n v="844638"/>
    <n v="666628"/>
    <x v="1"/>
  </r>
  <r>
    <s v="Data Analyst"/>
    <x v="1"/>
    <x v="0"/>
    <x v="5"/>
    <s v="MCA"/>
    <x v="2"/>
    <n v="2607250"/>
    <n v="1998029"/>
    <x v="0"/>
  </r>
  <r>
    <s v="Analytics Consultant"/>
    <x v="1"/>
    <x v="0"/>
    <x v="2"/>
    <s v="B.Tech"/>
    <x v="3"/>
    <n v="4058496"/>
    <n v="3032126"/>
    <x v="0"/>
  </r>
  <r>
    <s v="Big Data Engineer"/>
    <x v="0"/>
    <x v="0"/>
    <x v="0"/>
    <s v="M.Tech"/>
    <x v="0"/>
    <n v="1005208"/>
    <n v="757105"/>
    <x v="2"/>
  </r>
  <r>
    <s v="AI/ML Engineer"/>
    <x v="0"/>
    <x v="0"/>
    <x v="3"/>
    <s v="B.Tech"/>
    <x v="1"/>
    <n v="841566"/>
    <n v="636619"/>
    <x v="1"/>
  </r>
  <r>
    <s v="Data Scientist"/>
    <x v="1"/>
    <x v="1"/>
    <x v="7"/>
    <s v="B.Tech"/>
    <x v="0"/>
    <n v="2883757"/>
    <n v="2196113"/>
    <x v="2"/>
  </r>
  <r>
    <s v="AI/ML Engineer"/>
    <x v="2"/>
    <x v="0"/>
    <x v="1"/>
    <s v="MCA"/>
    <x v="3"/>
    <n v="1708781"/>
    <n v="1294751"/>
    <x v="1"/>
  </r>
  <r>
    <s v="Data Analyst"/>
    <x v="1"/>
    <x v="0"/>
    <x v="6"/>
    <s v="M.Sc"/>
    <x v="3"/>
    <n v="2250858"/>
    <n v="1622185"/>
    <x v="0"/>
  </r>
  <r>
    <s v="Big Data Engineer"/>
    <x v="1"/>
    <x v="1"/>
    <x v="0"/>
    <s v="MCA"/>
    <x v="0"/>
    <n v="4991445"/>
    <n v="3929669"/>
    <x v="2"/>
  </r>
  <r>
    <s v="Data Scientist"/>
    <x v="0"/>
    <x v="1"/>
    <x v="0"/>
    <s v="PhD"/>
    <x v="0"/>
    <n v="557899"/>
    <n v="394356"/>
    <x v="2"/>
  </r>
  <r>
    <s v="Big Data Engineer"/>
    <x v="2"/>
    <x v="0"/>
    <x v="7"/>
    <s v="B.Sc"/>
    <x v="3"/>
    <n v="1844337"/>
    <n v="1331809"/>
    <x v="2"/>
  </r>
  <r>
    <s v="Big Data Engineer"/>
    <x v="0"/>
    <x v="0"/>
    <x v="8"/>
    <s v="B.Tech"/>
    <x v="2"/>
    <n v="725494"/>
    <n v="528685"/>
    <x v="2"/>
  </r>
  <r>
    <s v="AI/ML Engineer"/>
    <x v="2"/>
    <x v="1"/>
    <x v="5"/>
    <s v="B.Sc"/>
    <x v="1"/>
    <n v="1509755"/>
    <n v="1179645"/>
    <x v="1"/>
  </r>
  <r>
    <s v="AI/ML Engineer"/>
    <x v="1"/>
    <x v="0"/>
    <x v="2"/>
    <s v="MCA"/>
    <x v="1"/>
    <n v="4844086"/>
    <n v="3889512"/>
    <x v="1"/>
  </r>
  <r>
    <s v="Big Data Engineer"/>
    <x v="1"/>
    <x v="1"/>
    <x v="4"/>
    <s v="M.Sc"/>
    <x v="2"/>
    <n v="5128000"/>
    <n v="3823753"/>
    <x v="2"/>
  </r>
  <r>
    <s v="Data Analyst"/>
    <x v="1"/>
    <x v="0"/>
    <x v="7"/>
    <s v="M.Sc"/>
    <x v="2"/>
    <n v="2723049"/>
    <n v="2132646"/>
    <x v="0"/>
  </r>
  <r>
    <s v="Analytics Consultant"/>
    <x v="0"/>
    <x v="0"/>
    <x v="0"/>
    <s v="BCA"/>
    <x v="1"/>
    <n v="852600"/>
    <n v="615605"/>
    <x v="0"/>
  </r>
  <r>
    <s v="Data Analyst"/>
    <x v="0"/>
    <x v="1"/>
    <x v="4"/>
    <s v="B.Tech"/>
    <x v="2"/>
    <n v="594099"/>
    <n v="424237"/>
    <x v="0"/>
  </r>
  <r>
    <s v="Data Analyst"/>
    <x v="1"/>
    <x v="0"/>
    <x v="0"/>
    <s v="MCA"/>
    <x v="3"/>
    <n v="3239708"/>
    <n v="2343108"/>
    <x v="0"/>
  </r>
  <r>
    <s v="Big Data Engineer"/>
    <x v="1"/>
    <x v="1"/>
    <x v="3"/>
    <s v="BCA"/>
    <x v="0"/>
    <n v="4517790"/>
    <n v="3278595"/>
    <x v="2"/>
  </r>
  <r>
    <s v="Data Analyst"/>
    <x v="2"/>
    <x v="0"/>
    <x v="1"/>
    <s v="BCA"/>
    <x v="1"/>
    <n v="1314124"/>
    <n v="1069865"/>
    <x v="0"/>
  </r>
  <r>
    <s v="Analytics Consultant"/>
    <x v="1"/>
    <x v="0"/>
    <x v="5"/>
    <s v="M.Sc"/>
    <x v="2"/>
    <n v="3949230"/>
    <n v="2832990"/>
    <x v="0"/>
  </r>
  <r>
    <s v="Big Data Engineer"/>
    <x v="2"/>
    <x v="1"/>
    <x v="3"/>
    <s v="M.Sc"/>
    <x v="3"/>
    <n v="1447039"/>
    <n v="1025871"/>
    <x v="2"/>
  </r>
  <r>
    <s v="Analytics Consultant"/>
    <x v="2"/>
    <x v="1"/>
    <x v="0"/>
    <s v="PhD"/>
    <x v="1"/>
    <n v="1518949"/>
    <n v="1127089"/>
    <x v="0"/>
  </r>
  <r>
    <s v="Analytics Consultant"/>
    <x v="0"/>
    <x v="0"/>
    <x v="0"/>
    <s v="PhD"/>
    <x v="3"/>
    <n v="1127204"/>
    <n v="919231"/>
    <x v="0"/>
  </r>
  <r>
    <s v="Analytics Consultant"/>
    <x v="0"/>
    <x v="0"/>
    <x v="0"/>
    <s v="PhD"/>
    <x v="0"/>
    <n v="1045413"/>
    <n v="833652"/>
    <x v="0"/>
  </r>
  <r>
    <s v="AI Researcher"/>
    <x v="1"/>
    <x v="0"/>
    <x v="8"/>
    <s v="M.Tech"/>
    <x v="3"/>
    <n v="3645965"/>
    <n v="2603935"/>
    <x v="1"/>
  </r>
  <r>
    <s v="Data Scientist"/>
    <x v="0"/>
    <x v="1"/>
    <x v="5"/>
    <s v="B.Tech"/>
    <x v="3"/>
    <n v="984332"/>
    <n v="803747"/>
    <x v="2"/>
  </r>
  <r>
    <s v="Big Data Engineer"/>
    <x v="2"/>
    <x v="1"/>
    <x v="4"/>
    <s v="BCA"/>
    <x v="3"/>
    <n v="2324519"/>
    <n v="1821727"/>
    <x v="2"/>
  </r>
  <r>
    <s v="Data Scientist"/>
    <x v="0"/>
    <x v="1"/>
    <x v="4"/>
    <s v="MCA"/>
    <x v="2"/>
    <n v="1068706"/>
    <n v="810736"/>
    <x v="2"/>
  </r>
  <r>
    <s v="AI Researcher"/>
    <x v="2"/>
    <x v="0"/>
    <x v="0"/>
    <s v="B.Tech"/>
    <x v="2"/>
    <n v="2803917"/>
    <n v="2047851"/>
    <x v="1"/>
  </r>
  <r>
    <s v="Analytics Consultant"/>
    <x v="2"/>
    <x v="1"/>
    <x v="2"/>
    <s v="M.Sc"/>
    <x v="0"/>
    <n v="1501152"/>
    <n v="1215787"/>
    <x v="0"/>
  </r>
  <r>
    <s v="Analytics Consultant"/>
    <x v="1"/>
    <x v="0"/>
    <x v="6"/>
    <s v="MCA"/>
    <x v="1"/>
    <n v="2553392"/>
    <n v="1935458"/>
    <x v="0"/>
  </r>
  <r>
    <s v="Big Data Engineer"/>
    <x v="0"/>
    <x v="0"/>
    <x v="5"/>
    <s v="MCA"/>
    <x v="0"/>
    <n v="646508"/>
    <n v="468507"/>
    <x v="2"/>
  </r>
  <r>
    <s v="Data Scientist"/>
    <x v="1"/>
    <x v="1"/>
    <x v="0"/>
    <s v="M.Tech"/>
    <x v="1"/>
    <n v="4900289"/>
    <n v="3720213"/>
    <x v="2"/>
  </r>
  <r>
    <s v="Big Data Engineer"/>
    <x v="1"/>
    <x v="0"/>
    <x v="4"/>
    <s v="M.Sc"/>
    <x v="1"/>
    <n v="4404784"/>
    <n v="3139792"/>
    <x v="2"/>
  </r>
  <r>
    <s v="Analytics Consultant"/>
    <x v="1"/>
    <x v="1"/>
    <x v="7"/>
    <s v="B.Tech"/>
    <x v="3"/>
    <n v="2851484"/>
    <n v="2104326"/>
    <x v="0"/>
  </r>
  <r>
    <s v="AI/ML Engineer"/>
    <x v="2"/>
    <x v="0"/>
    <x v="0"/>
    <s v="BCA"/>
    <x v="0"/>
    <n v="2068722"/>
    <n v="1541198"/>
    <x v="1"/>
  </r>
  <r>
    <s v="Big Data Engineer"/>
    <x v="2"/>
    <x v="1"/>
    <x v="2"/>
    <s v="M.Tech"/>
    <x v="2"/>
    <n v="1215248"/>
    <n v="920421"/>
    <x v="2"/>
  </r>
  <r>
    <s v="AI Researcher"/>
    <x v="0"/>
    <x v="1"/>
    <x v="5"/>
    <s v="B.Sc"/>
    <x v="0"/>
    <n v="1242945"/>
    <n v="945648"/>
    <x v="1"/>
  </r>
  <r>
    <s v="Analytics Consultant"/>
    <x v="2"/>
    <x v="1"/>
    <x v="3"/>
    <s v="B.Sc"/>
    <x v="2"/>
    <n v="2292616"/>
    <n v="1661136"/>
    <x v="0"/>
  </r>
  <r>
    <s v="Analytics Consultant"/>
    <x v="2"/>
    <x v="0"/>
    <x v="8"/>
    <s v="MCA"/>
    <x v="0"/>
    <n v="1523887"/>
    <n v="1151461"/>
    <x v="0"/>
  </r>
  <r>
    <s v="Big Data Engineer"/>
    <x v="2"/>
    <x v="1"/>
    <x v="1"/>
    <s v="PhD"/>
    <x v="3"/>
    <n v="2435812"/>
    <n v="1917269"/>
    <x v="2"/>
  </r>
  <r>
    <s v="Data Analyst"/>
    <x v="0"/>
    <x v="0"/>
    <x v="4"/>
    <s v="B.Tech"/>
    <x v="0"/>
    <n v="365101"/>
    <n v="286101"/>
    <x v="0"/>
  </r>
  <r>
    <s v="Big Data Engineer"/>
    <x v="0"/>
    <x v="0"/>
    <x v="1"/>
    <s v="MCA"/>
    <x v="2"/>
    <n v="649496"/>
    <n v="470968"/>
    <x v="2"/>
  </r>
  <r>
    <s v="Big Data Engineer"/>
    <x v="0"/>
    <x v="1"/>
    <x v="6"/>
    <s v="PhD"/>
    <x v="1"/>
    <n v="725294"/>
    <n v="509068"/>
    <x v="2"/>
  </r>
  <r>
    <s v="Data Scientist"/>
    <x v="0"/>
    <x v="1"/>
    <x v="2"/>
    <s v="MCA"/>
    <x v="3"/>
    <n v="677418"/>
    <n v="506796"/>
    <x v="2"/>
  </r>
  <r>
    <s v="Analytics Consultant"/>
    <x v="0"/>
    <x v="1"/>
    <x v="5"/>
    <s v="PhD"/>
    <x v="3"/>
    <n v="693799"/>
    <n v="525134"/>
    <x v="0"/>
  </r>
  <r>
    <s v="AI/ML Engineer"/>
    <x v="1"/>
    <x v="1"/>
    <x v="6"/>
    <s v="M.Sc"/>
    <x v="1"/>
    <n v="5345140"/>
    <n v="4000115"/>
    <x v="1"/>
  </r>
  <r>
    <s v="Big Data Engineer"/>
    <x v="2"/>
    <x v="1"/>
    <x v="8"/>
    <s v="B.Sc"/>
    <x v="2"/>
    <n v="1873468"/>
    <n v="1513452"/>
    <x v="2"/>
  </r>
  <r>
    <s v="AI Researcher"/>
    <x v="2"/>
    <x v="0"/>
    <x v="5"/>
    <s v="B.Tech"/>
    <x v="0"/>
    <n v="2684871"/>
    <n v="1978606"/>
    <x v="1"/>
  </r>
  <r>
    <s v="Data Scientist"/>
    <x v="0"/>
    <x v="0"/>
    <x v="6"/>
    <s v="B.Sc"/>
    <x v="3"/>
    <n v="1077411"/>
    <n v="762120"/>
    <x v="2"/>
  </r>
  <r>
    <s v="Data Analyst"/>
    <x v="2"/>
    <x v="1"/>
    <x v="4"/>
    <s v="MCA"/>
    <x v="0"/>
    <n v="1247556"/>
    <n v="904934"/>
    <x v="0"/>
  </r>
  <r>
    <s v="AI/ML Engineer"/>
    <x v="0"/>
    <x v="0"/>
    <x v="8"/>
    <s v="B.Sc"/>
    <x v="1"/>
    <n v="884031"/>
    <n v="698178"/>
    <x v="1"/>
  </r>
  <r>
    <s v="Big Data Engineer"/>
    <x v="2"/>
    <x v="1"/>
    <x v="1"/>
    <s v="PhD"/>
    <x v="0"/>
    <n v="2253887"/>
    <n v="1616524"/>
    <x v="2"/>
  </r>
  <r>
    <s v="Data Scientist"/>
    <x v="1"/>
    <x v="0"/>
    <x v="1"/>
    <s v="M.Sc"/>
    <x v="0"/>
    <n v="4487448"/>
    <n v="3279379"/>
    <x v="2"/>
  </r>
  <r>
    <s v="AI Researcher"/>
    <x v="1"/>
    <x v="0"/>
    <x v="2"/>
    <s v="BCA"/>
    <x v="3"/>
    <n v="4121415"/>
    <n v="3028030"/>
    <x v="1"/>
  </r>
  <r>
    <s v="Data Analyst"/>
    <x v="2"/>
    <x v="0"/>
    <x v="5"/>
    <s v="M.Tech"/>
    <x v="0"/>
    <n v="907747"/>
    <n v="650041"/>
    <x v="0"/>
  </r>
  <r>
    <s v="Big Data Engineer"/>
    <x v="2"/>
    <x v="0"/>
    <x v="0"/>
    <s v="BCA"/>
    <x v="3"/>
    <n v="1783282"/>
    <n v="1439684"/>
    <x v="2"/>
  </r>
  <r>
    <s v="Data Analyst"/>
    <x v="0"/>
    <x v="0"/>
    <x v="5"/>
    <s v="PhD"/>
    <x v="2"/>
    <n v="486367"/>
    <n v="380217"/>
    <x v="0"/>
  </r>
  <r>
    <s v="Analytics Consultant"/>
    <x v="1"/>
    <x v="1"/>
    <x v="1"/>
    <s v="MCA"/>
    <x v="0"/>
    <n v="4848211"/>
    <n v="3949873"/>
    <x v="0"/>
  </r>
  <r>
    <s v="Data Scientist"/>
    <x v="0"/>
    <x v="0"/>
    <x v="3"/>
    <s v="M.Tech"/>
    <x v="0"/>
    <n v="956006"/>
    <n v="678873"/>
    <x v="2"/>
  </r>
  <r>
    <s v="Analytics Consultant"/>
    <x v="0"/>
    <x v="0"/>
    <x v="7"/>
    <s v="PhD"/>
    <x v="0"/>
    <n v="964103"/>
    <n v="760086"/>
    <x v="0"/>
  </r>
  <r>
    <s v="Big Data Engineer"/>
    <x v="1"/>
    <x v="0"/>
    <x v="1"/>
    <s v="MCA"/>
    <x v="3"/>
    <n v="3019532"/>
    <n v="2401786"/>
    <x v="2"/>
  </r>
  <r>
    <s v="AI/ML Engineer"/>
    <x v="2"/>
    <x v="1"/>
    <x v="6"/>
    <s v="MCA"/>
    <x v="0"/>
    <n v="2433444"/>
    <n v="1740136"/>
    <x v="1"/>
  </r>
  <r>
    <s v="AI Researcher"/>
    <x v="1"/>
    <x v="0"/>
    <x v="1"/>
    <s v="M.Tech"/>
    <x v="2"/>
    <n v="3996321"/>
    <n v="3064740"/>
    <x v="1"/>
  </r>
  <r>
    <s v="AI Researcher"/>
    <x v="2"/>
    <x v="0"/>
    <x v="8"/>
    <s v="B.Tech"/>
    <x v="1"/>
    <n v="2227394"/>
    <n v="1748832"/>
    <x v="1"/>
  </r>
  <r>
    <s v="Data Analyst"/>
    <x v="0"/>
    <x v="1"/>
    <x v="6"/>
    <s v="MCA"/>
    <x v="0"/>
    <n v="733383"/>
    <n v="533804"/>
    <x v="0"/>
  </r>
  <r>
    <s v="AI/ML Engineer"/>
    <x v="0"/>
    <x v="1"/>
    <x v="6"/>
    <s v="PhD"/>
    <x v="2"/>
    <n v="675724"/>
    <n v="514468"/>
    <x v="1"/>
  </r>
  <r>
    <s v="AI Researcher"/>
    <x v="1"/>
    <x v="0"/>
    <x v="1"/>
    <s v="MCA"/>
    <x v="3"/>
    <n v="4346134"/>
    <n v="3218576"/>
    <x v="1"/>
  </r>
  <r>
    <s v="AI/ML Engineer"/>
    <x v="1"/>
    <x v="0"/>
    <x v="3"/>
    <s v="PhD"/>
    <x v="2"/>
    <n v="4201520"/>
    <n v="2989194"/>
    <x v="1"/>
  </r>
  <r>
    <s v="AI/ML Engineer"/>
    <x v="0"/>
    <x v="0"/>
    <x v="0"/>
    <s v="PhD"/>
    <x v="2"/>
    <n v="1486260"/>
    <n v="1123923"/>
    <x v="1"/>
  </r>
  <r>
    <s v="Data Analyst"/>
    <x v="2"/>
    <x v="0"/>
    <x v="4"/>
    <s v="BCA"/>
    <x v="2"/>
    <n v="1236779"/>
    <n v="931743"/>
    <x v="0"/>
  </r>
  <r>
    <s v="Big Data Engineer"/>
    <x v="2"/>
    <x v="1"/>
    <x v="0"/>
    <s v="PhD"/>
    <x v="0"/>
    <n v="1356237"/>
    <n v="1039215"/>
    <x v="2"/>
  </r>
  <r>
    <s v="AI/ML Engineer"/>
    <x v="0"/>
    <x v="0"/>
    <x v="2"/>
    <s v="MCA"/>
    <x v="3"/>
    <n v="1451772"/>
    <n v="1161878"/>
    <x v="1"/>
  </r>
  <r>
    <s v="Analytics Consultant"/>
    <x v="2"/>
    <x v="1"/>
    <x v="2"/>
    <s v="PhD"/>
    <x v="3"/>
    <n v="2284927"/>
    <n v="1818640"/>
    <x v="0"/>
  </r>
  <r>
    <s v="AI/ML Engineer"/>
    <x v="0"/>
    <x v="1"/>
    <x v="7"/>
    <s v="M.Tech"/>
    <x v="3"/>
    <n v="626680"/>
    <n v="463245"/>
    <x v="1"/>
  </r>
  <r>
    <s v="AI Researcher"/>
    <x v="0"/>
    <x v="1"/>
    <x v="7"/>
    <s v="BCA"/>
    <x v="3"/>
    <n v="1463037"/>
    <n v="1140186"/>
    <x v="1"/>
  </r>
  <r>
    <s v="Analytics Consultant"/>
    <x v="0"/>
    <x v="0"/>
    <x v="0"/>
    <s v="B.Tech"/>
    <x v="3"/>
    <n v="877625"/>
    <n v="703740"/>
    <x v="0"/>
  </r>
  <r>
    <s v="Big Data Engineer"/>
    <x v="1"/>
    <x v="0"/>
    <x v="1"/>
    <s v="M.Tech"/>
    <x v="3"/>
    <n v="4773985"/>
    <n v="3877867"/>
    <x v="2"/>
  </r>
  <r>
    <s v="Analytics Consultant"/>
    <x v="1"/>
    <x v="1"/>
    <x v="1"/>
    <s v="B.Tech"/>
    <x v="3"/>
    <n v="3105733"/>
    <n v="2482896"/>
    <x v="0"/>
  </r>
  <r>
    <s v="Big Data Engineer"/>
    <x v="2"/>
    <x v="1"/>
    <x v="4"/>
    <s v="MCA"/>
    <x v="3"/>
    <n v="1405501"/>
    <n v="1130497"/>
    <x v="2"/>
  </r>
  <r>
    <s v="Data Analyst"/>
    <x v="0"/>
    <x v="0"/>
    <x v="3"/>
    <s v="MCA"/>
    <x v="0"/>
    <n v="417495"/>
    <n v="316814"/>
    <x v="0"/>
  </r>
  <r>
    <s v="Data Analyst"/>
    <x v="2"/>
    <x v="1"/>
    <x v="3"/>
    <s v="BCA"/>
    <x v="2"/>
    <n v="1413139"/>
    <n v="1011357"/>
    <x v="0"/>
  </r>
  <r>
    <s v="Data Scientist"/>
    <x v="2"/>
    <x v="1"/>
    <x v="6"/>
    <s v="MCA"/>
    <x v="0"/>
    <n v="2408896"/>
    <n v="1843620"/>
    <x v="2"/>
  </r>
  <r>
    <s v="AI/ML Engineer"/>
    <x v="2"/>
    <x v="0"/>
    <x v="0"/>
    <s v="M.Sc"/>
    <x v="1"/>
    <n v="2360711"/>
    <n v="1853266"/>
    <x v="1"/>
  </r>
  <r>
    <s v="AI Researcher"/>
    <x v="0"/>
    <x v="0"/>
    <x v="3"/>
    <s v="M.Tech"/>
    <x v="2"/>
    <n v="967068"/>
    <n v="733938"/>
    <x v="1"/>
  </r>
  <r>
    <s v="AI/ML Engineer"/>
    <x v="0"/>
    <x v="0"/>
    <x v="0"/>
    <s v="BCA"/>
    <x v="0"/>
    <n v="757851"/>
    <n v="602850"/>
    <x v="1"/>
  </r>
  <r>
    <s v="AI/ML Engineer"/>
    <x v="1"/>
    <x v="0"/>
    <x v="3"/>
    <s v="B.Tech"/>
    <x v="3"/>
    <n v="5355466"/>
    <n v="3787891"/>
    <x v="1"/>
  </r>
  <r>
    <s v="AI Researcher"/>
    <x v="2"/>
    <x v="0"/>
    <x v="6"/>
    <s v="BCA"/>
    <x v="1"/>
    <n v="2664834"/>
    <n v="2077122"/>
    <x v="1"/>
  </r>
  <r>
    <s v="Data Scientist"/>
    <x v="1"/>
    <x v="1"/>
    <x v="3"/>
    <s v="B.Sc"/>
    <x v="3"/>
    <n v="2792853"/>
    <n v="2064765"/>
    <x v="2"/>
  </r>
  <r>
    <s v="AI/ML Engineer"/>
    <x v="0"/>
    <x v="0"/>
    <x v="4"/>
    <s v="B.Tech"/>
    <x v="0"/>
    <n v="764873"/>
    <n v="619942"/>
    <x v="1"/>
  </r>
  <r>
    <s v="Data Scientist"/>
    <x v="1"/>
    <x v="0"/>
    <x v="6"/>
    <s v="M.Sc"/>
    <x v="3"/>
    <n v="4042839"/>
    <n v="2869471"/>
    <x v="2"/>
  </r>
  <r>
    <s v="AI/ML Engineer"/>
    <x v="0"/>
    <x v="0"/>
    <x v="8"/>
    <s v="B.Sc"/>
    <x v="3"/>
    <n v="1060481"/>
    <n v="744468"/>
    <x v="1"/>
  </r>
  <r>
    <s v="AI/ML Engineer"/>
    <x v="0"/>
    <x v="1"/>
    <x v="8"/>
    <s v="MCA"/>
    <x v="0"/>
    <n v="1475793"/>
    <n v="1091178"/>
    <x v="1"/>
  </r>
  <r>
    <s v="AI Researcher"/>
    <x v="0"/>
    <x v="1"/>
    <x v="3"/>
    <s v="B.Tech"/>
    <x v="1"/>
    <n v="1316351"/>
    <n v="961117"/>
    <x v="1"/>
  </r>
  <r>
    <s v="Big Data Engineer"/>
    <x v="1"/>
    <x v="1"/>
    <x v="5"/>
    <s v="M.Tech"/>
    <x v="2"/>
    <n v="4331821"/>
    <n v="3453034"/>
    <x v="2"/>
  </r>
  <r>
    <s v="Analytics Consultant"/>
    <x v="1"/>
    <x v="0"/>
    <x v="6"/>
    <s v="M.Sc"/>
    <x v="2"/>
    <n v="3907569"/>
    <n v="3016770"/>
    <x v="0"/>
  </r>
  <r>
    <s v="Analytics Consultant"/>
    <x v="2"/>
    <x v="0"/>
    <x v="5"/>
    <s v="M.Tech"/>
    <x v="2"/>
    <n v="2227526"/>
    <n v="1738167"/>
    <x v="0"/>
  </r>
  <r>
    <s v="Data Analyst"/>
    <x v="1"/>
    <x v="1"/>
    <x v="1"/>
    <s v="M.Tech"/>
    <x v="3"/>
    <n v="3497403"/>
    <n v="2666189"/>
    <x v="0"/>
  </r>
  <r>
    <s v="AI Researcher"/>
    <x v="1"/>
    <x v="1"/>
    <x v="2"/>
    <s v="PhD"/>
    <x v="3"/>
    <n v="3661978"/>
    <n v="2843374"/>
    <x v="1"/>
  </r>
  <r>
    <s v="AI/ML Engineer"/>
    <x v="2"/>
    <x v="1"/>
    <x v="6"/>
    <s v="M.Tech"/>
    <x v="3"/>
    <n v="2655435"/>
    <n v="2082897"/>
    <x v="1"/>
  </r>
  <r>
    <s v="AI Researcher"/>
    <x v="1"/>
    <x v="0"/>
    <x v="1"/>
    <s v="M.Sc"/>
    <x v="3"/>
    <n v="4988193"/>
    <n v="3897196"/>
    <x v="1"/>
  </r>
  <r>
    <s v="AI/ML Engineer"/>
    <x v="1"/>
    <x v="1"/>
    <x v="5"/>
    <s v="MCA"/>
    <x v="0"/>
    <n v="6482061"/>
    <n v="4655169"/>
    <x v="1"/>
  </r>
  <r>
    <s v="AI/ML Engineer"/>
    <x v="2"/>
    <x v="0"/>
    <x v="4"/>
    <s v="M.Sc"/>
    <x v="0"/>
    <n v="1583464"/>
    <n v="1167790"/>
    <x v="1"/>
  </r>
  <r>
    <s v="Data Analyst"/>
    <x v="1"/>
    <x v="0"/>
    <x v="7"/>
    <s v="MCA"/>
    <x v="3"/>
    <n v="3076837"/>
    <n v="2412296"/>
    <x v="0"/>
  </r>
  <r>
    <s v="Analytics Consultant"/>
    <x v="2"/>
    <x v="0"/>
    <x v="4"/>
    <s v="M.Tech"/>
    <x v="0"/>
    <n v="2487171"/>
    <n v="2011456"/>
    <x v="0"/>
  </r>
  <r>
    <s v="AI Researcher"/>
    <x v="0"/>
    <x v="0"/>
    <x v="5"/>
    <s v="MCA"/>
    <x v="1"/>
    <n v="755212"/>
    <n v="601318"/>
    <x v="1"/>
  </r>
  <r>
    <s v="AI/ML Engineer"/>
    <x v="0"/>
    <x v="0"/>
    <x v="3"/>
    <s v="B.Sc"/>
    <x v="2"/>
    <n v="1324674"/>
    <n v="965392"/>
    <x v="1"/>
  </r>
  <r>
    <s v="Big Data Engineer"/>
    <x v="1"/>
    <x v="0"/>
    <x v="4"/>
    <s v="M.Sc"/>
    <x v="2"/>
    <n v="5274353"/>
    <n v="3818976"/>
    <x v="2"/>
  </r>
  <r>
    <s v="AI/ML Engineer"/>
    <x v="0"/>
    <x v="0"/>
    <x v="8"/>
    <s v="M.Tech"/>
    <x v="0"/>
    <n v="1429146"/>
    <n v="1047688"/>
    <x v="1"/>
  </r>
  <r>
    <s v="Big Data Engineer"/>
    <x v="0"/>
    <x v="0"/>
    <x v="1"/>
    <s v="PhD"/>
    <x v="3"/>
    <n v="913340"/>
    <n v="694203"/>
    <x v="2"/>
  </r>
  <r>
    <s v="Analytics Consultant"/>
    <x v="1"/>
    <x v="0"/>
    <x v="2"/>
    <s v="M.Tech"/>
    <x v="0"/>
    <n v="2739086"/>
    <n v="2194713"/>
    <x v="0"/>
  </r>
  <r>
    <s v="AI Researcher"/>
    <x v="2"/>
    <x v="0"/>
    <x v="0"/>
    <s v="B.Tech"/>
    <x v="2"/>
    <n v="2764350"/>
    <n v="1973853"/>
    <x v="1"/>
  </r>
  <r>
    <s v="Big Data Engineer"/>
    <x v="0"/>
    <x v="1"/>
    <x v="2"/>
    <s v="B.Tech"/>
    <x v="1"/>
    <n v="578166"/>
    <n v="420763"/>
    <x v="2"/>
  </r>
  <r>
    <s v="AI Researcher"/>
    <x v="0"/>
    <x v="1"/>
    <x v="8"/>
    <s v="MCA"/>
    <x v="3"/>
    <n v="1125674"/>
    <n v="804862"/>
    <x v="1"/>
  </r>
  <r>
    <s v="Data Analyst"/>
    <x v="2"/>
    <x v="1"/>
    <x v="2"/>
    <s v="M.Sc"/>
    <x v="0"/>
    <n v="905902"/>
    <n v="639723"/>
    <x v="0"/>
  </r>
  <r>
    <s v="AI/ML Engineer"/>
    <x v="0"/>
    <x v="0"/>
    <x v="8"/>
    <s v="M.Sc"/>
    <x v="0"/>
    <n v="1267684"/>
    <n v="909557"/>
    <x v="1"/>
  </r>
  <r>
    <s v="Data Analyst"/>
    <x v="1"/>
    <x v="0"/>
    <x v="0"/>
    <s v="M.Sc"/>
    <x v="3"/>
    <n v="2881169"/>
    <n v="2266675"/>
    <x v="0"/>
  </r>
  <r>
    <s v="AI/ML Engineer"/>
    <x v="0"/>
    <x v="0"/>
    <x v="1"/>
    <s v="B.Tech"/>
    <x v="0"/>
    <n v="1061086"/>
    <n v="794677"/>
    <x v="1"/>
  </r>
  <r>
    <s v="AI/ML Engineer"/>
    <x v="0"/>
    <x v="1"/>
    <x v="8"/>
    <s v="MCA"/>
    <x v="3"/>
    <n v="1489166"/>
    <n v="1109620"/>
    <x v="1"/>
  </r>
  <r>
    <s v="AI/ML Engineer"/>
    <x v="0"/>
    <x v="0"/>
    <x v="0"/>
    <s v="B.Sc"/>
    <x v="3"/>
    <n v="1207399"/>
    <n v="927007"/>
    <x v="1"/>
  </r>
  <r>
    <s v="Data Analyst"/>
    <x v="0"/>
    <x v="1"/>
    <x v="0"/>
    <s v="M.Sc"/>
    <x v="0"/>
    <n v="343235"/>
    <n v="245421"/>
    <x v="0"/>
  </r>
  <r>
    <s v="Data Scientist"/>
    <x v="0"/>
    <x v="0"/>
    <x v="2"/>
    <s v="B.Tech"/>
    <x v="3"/>
    <n v="543677"/>
    <n v="394189"/>
    <x v="2"/>
  </r>
  <r>
    <s v="Data Scientist"/>
    <x v="1"/>
    <x v="0"/>
    <x v="2"/>
    <s v="M.Tech"/>
    <x v="0"/>
    <n v="5454038"/>
    <n v="4188591"/>
    <x v="2"/>
  </r>
  <r>
    <s v="Data Analyst"/>
    <x v="2"/>
    <x v="1"/>
    <x v="6"/>
    <s v="PhD"/>
    <x v="0"/>
    <n v="1284408"/>
    <n v="966109"/>
    <x v="0"/>
  </r>
  <r>
    <s v="AI Researcher"/>
    <x v="2"/>
    <x v="1"/>
    <x v="2"/>
    <s v="B.Tech"/>
    <x v="0"/>
    <n v="2998391"/>
    <n v="2339776"/>
    <x v="1"/>
  </r>
  <r>
    <s v="Analytics Consultant"/>
    <x v="1"/>
    <x v="1"/>
    <x v="8"/>
    <s v="PhD"/>
    <x v="2"/>
    <n v="2867340"/>
    <n v="2330935"/>
    <x v="0"/>
  </r>
  <r>
    <s v="Data Analyst"/>
    <x v="2"/>
    <x v="0"/>
    <x v="7"/>
    <s v="M.Tech"/>
    <x v="2"/>
    <n v="1753288"/>
    <n v="1245739"/>
    <x v="0"/>
  </r>
  <r>
    <s v="AI Researcher"/>
    <x v="0"/>
    <x v="0"/>
    <x v="5"/>
    <s v="BCA"/>
    <x v="3"/>
    <n v="831386"/>
    <n v="588501"/>
    <x v="1"/>
  </r>
  <r>
    <s v="AI Researcher"/>
    <x v="0"/>
    <x v="0"/>
    <x v="2"/>
    <s v="B.Sc"/>
    <x v="3"/>
    <n v="891983"/>
    <n v="703152"/>
    <x v="1"/>
  </r>
  <r>
    <s v="Data Scientist"/>
    <x v="1"/>
    <x v="0"/>
    <x v="3"/>
    <s v="M.Tech"/>
    <x v="3"/>
    <n v="4330992"/>
    <n v="3389465"/>
    <x v="2"/>
  </r>
  <r>
    <s v="Data Analyst"/>
    <x v="1"/>
    <x v="1"/>
    <x v="7"/>
    <s v="B.Tech"/>
    <x v="3"/>
    <n v="2711957"/>
    <n v="1915898"/>
    <x v="0"/>
  </r>
  <r>
    <s v="Data Scientist"/>
    <x v="2"/>
    <x v="1"/>
    <x v="7"/>
    <s v="B.Sc"/>
    <x v="1"/>
    <n v="1521699"/>
    <n v="1241723"/>
    <x v="2"/>
  </r>
  <r>
    <s v="AI Researcher"/>
    <x v="2"/>
    <x v="1"/>
    <x v="8"/>
    <s v="BCA"/>
    <x v="1"/>
    <n v="2324390"/>
    <n v="1659393"/>
    <x v="1"/>
  </r>
  <r>
    <s v="Analytics Consultant"/>
    <x v="1"/>
    <x v="1"/>
    <x v="1"/>
    <s v="B.Tech"/>
    <x v="3"/>
    <n v="3701165"/>
    <n v="3003190"/>
    <x v="0"/>
  </r>
  <r>
    <s v="Data Scientist"/>
    <x v="0"/>
    <x v="0"/>
    <x v="3"/>
    <s v="M.Tech"/>
    <x v="1"/>
    <n v="636771"/>
    <n v="486239"/>
    <x v="2"/>
  </r>
  <r>
    <s v="AI/ML Engineer"/>
    <x v="0"/>
    <x v="0"/>
    <x v="1"/>
    <s v="PhD"/>
    <x v="3"/>
    <n v="1152090"/>
    <n v="926738"/>
    <x v="1"/>
  </r>
  <r>
    <s v="Big Data Engineer"/>
    <x v="1"/>
    <x v="0"/>
    <x v="5"/>
    <s v="M.Tech"/>
    <x v="1"/>
    <n v="4533895"/>
    <n v="3349411"/>
    <x v="2"/>
  </r>
  <r>
    <s v="AI/ML Engineer"/>
    <x v="2"/>
    <x v="1"/>
    <x v="3"/>
    <s v="PhD"/>
    <x v="1"/>
    <n v="2537609"/>
    <n v="1946147"/>
    <x v="1"/>
  </r>
  <r>
    <s v="Big Data Engineer"/>
    <x v="0"/>
    <x v="0"/>
    <x v="1"/>
    <s v="B.Tech"/>
    <x v="3"/>
    <n v="851985"/>
    <n v="660934"/>
    <x v="2"/>
  </r>
  <r>
    <s v="Analytics Consultant"/>
    <x v="2"/>
    <x v="1"/>
    <x v="5"/>
    <s v="B.Tech"/>
    <x v="1"/>
    <n v="1825488"/>
    <n v="1396417"/>
    <x v="0"/>
  </r>
  <r>
    <s v="Data Scientist"/>
    <x v="2"/>
    <x v="0"/>
    <x v="7"/>
    <s v="MCA"/>
    <x v="3"/>
    <n v="2319265"/>
    <n v="1686140"/>
    <x v="2"/>
  </r>
  <r>
    <s v="AI/ML Engineer"/>
    <x v="1"/>
    <x v="1"/>
    <x v="5"/>
    <s v="B.Tech"/>
    <x v="3"/>
    <n v="4335755"/>
    <n v="3052532"/>
    <x v="1"/>
  </r>
  <r>
    <s v="Analytics Consultant"/>
    <x v="2"/>
    <x v="0"/>
    <x v="6"/>
    <s v="BCA"/>
    <x v="2"/>
    <n v="2102189"/>
    <n v="1626625"/>
    <x v="0"/>
  </r>
  <r>
    <s v="Big Data Engineer"/>
    <x v="1"/>
    <x v="0"/>
    <x v="7"/>
    <s v="M.Tech"/>
    <x v="3"/>
    <n v="3689017"/>
    <n v="2600027"/>
    <x v="2"/>
  </r>
  <r>
    <s v="Analytics Consultant"/>
    <x v="0"/>
    <x v="1"/>
    <x v="1"/>
    <s v="B.Tech"/>
    <x v="1"/>
    <n v="834949"/>
    <n v="676070"/>
    <x v="0"/>
  </r>
  <r>
    <s v="Data Scientist"/>
    <x v="0"/>
    <x v="1"/>
    <x v="0"/>
    <s v="M.Sc"/>
    <x v="1"/>
    <n v="577706"/>
    <n v="413509"/>
    <x v="2"/>
  </r>
  <r>
    <s v="AI/ML Engineer"/>
    <x v="1"/>
    <x v="1"/>
    <x v="4"/>
    <s v="MCA"/>
    <x v="3"/>
    <n v="6966415"/>
    <n v="5545447"/>
    <x v="1"/>
  </r>
  <r>
    <s v="AI/ML Engineer"/>
    <x v="2"/>
    <x v="1"/>
    <x v="3"/>
    <s v="M.Sc"/>
    <x v="3"/>
    <n v="2755383"/>
    <n v="2242396"/>
    <x v="1"/>
  </r>
  <r>
    <s v="Data Analyst"/>
    <x v="0"/>
    <x v="1"/>
    <x v="3"/>
    <s v="M.Tech"/>
    <x v="3"/>
    <n v="751936"/>
    <n v="579646"/>
    <x v="0"/>
  </r>
  <r>
    <s v="Big Data Engineer"/>
    <x v="1"/>
    <x v="0"/>
    <x v="7"/>
    <s v="MCA"/>
    <x v="2"/>
    <n v="4165404"/>
    <n v="3320870"/>
    <x v="2"/>
  </r>
  <r>
    <s v="Big Data Engineer"/>
    <x v="0"/>
    <x v="0"/>
    <x v="2"/>
    <s v="BCA"/>
    <x v="2"/>
    <n v="1100988"/>
    <n v="812482"/>
    <x v="2"/>
  </r>
  <r>
    <s v="Analytics Consultant"/>
    <x v="1"/>
    <x v="0"/>
    <x v="6"/>
    <s v="PhD"/>
    <x v="2"/>
    <n v="4837386"/>
    <n v="3658688"/>
    <x v="0"/>
  </r>
  <r>
    <s v="Data Scientist"/>
    <x v="0"/>
    <x v="0"/>
    <x v="6"/>
    <s v="M.Tech"/>
    <x v="1"/>
    <n v="1188119"/>
    <n v="918431"/>
    <x v="2"/>
  </r>
  <r>
    <s v="AI Researcher"/>
    <x v="2"/>
    <x v="1"/>
    <x v="7"/>
    <s v="B.Tech"/>
    <x v="1"/>
    <n v="2651814"/>
    <n v="1978483"/>
    <x v="1"/>
  </r>
  <r>
    <s v="Data Scientist"/>
    <x v="0"/>
    <x v="0"/>
    <x v="2"/>
    <s v="BCA"/>
    <x v="1"/>
    <n v="899296"/>
    <n v="700840"/>
    <x v="2"/>
  </r>
  <r>
    <s v="Big Data Engineer"/>
    <x v="2"/>
    <x v="1"/>
    <x v="8"/>
    <s v="PhD"/>
    <x v="2"/>
    <n v="1273412"/>
    <n v="995248"/>
    <x v="2"/>
  </r>
  <r>
    <s v="Data Analyst"/>
    <x v="0"/>
    <x v="0"/>
    <x v="1"/>
    <s v="PhD"/>
    <x v="1"/>
    <n v="724404"/>
    <n v="591920"/>
    <x v="0"/>
  </r>
  <r>
    <s v="Data Scientist"/>
    <x v="2"/>
    <x v="1"/>
    <x v="4"/>
    <s v="B.Tech"/>
    <x v="1"/>
    <n v="1873072"/>
    <n v="1416813"/>
    <x v="2"/>
  </r>
  <r>
    <s v="Data Analyst"/>
    <x v="2"/>
    <x v="1"/>
    <x v="0"/>
    <s v="MCA"/>
    <x v="2"/>
    <n v="957741"/>
    <n v="714949"/>
    <x v="0"/>
  </r>
  <r>
    <s v="Data Analyst"/>
    <x v="1"/>
    <x v="0"/>
    <x v="3"/>
    <s v="B.Sc"/>
    <x v="2"/>
    <n v="2030399"/>
    <n v="1508229"/>
    <x v="0"/>
  </r>
  <r>
    <s v="Big Data Engineer"/>
    <x v="1"/>
    <x v="1"/>
    <x v="6"/>
    <s v="PhD"/>
    <x v="0"/>
    <n v="3440726"/>
    <n v="2488578"/>
    <x v="2"/>
  </r>
  <r>
    <s v="Big Data Engineer"/>
    <x v="0"/>
    <x v="0"/>
    <x v="5"/>
    <s v="BCA"/>
    <x v="2"/>
    <n v="507164"/>
    <n v="394264"/>
    <x v="2"/>
  </r>
  <r>
    <s v="AI/ML Engineer"/>
    <x v="0"/>
    <x v="0"/>
    <x v="6"/>
    <s v="PhD"/>
    <x v="1"/>
    <n v="1266528"/>
    <n v="968193"/>
    <x v="1"/>
  </r>
  <r>
    <s v="Data Analyst"/>
    <x v="2"/>
    <x v="1"/>
    <x v="6"/>
    <s v="B.Tech"/>
    <x v="1"/>
    <n v="847190"/>
    <n v="618545"/>
    <x v="0"/>
  </r>
  <r>
    <s v="Data Analyst"/>
    <x v="2"/>
    <x v="1"/>
    <x v="4"/>
    <s v="PhD"/>
    <x v="3"/>
    <n v="1335584"/>
    <n v="1089795"/>
    <x v="0"/>
  </r>
  <r>
    <s v="AI Researcher"/>
    <x v="2"/>
    <x v="0"/>
    <x v="6"/>
    <s v="M.Tech"/>
    <x v="1"/>
    <n v="2288630"/>
    <n v="1625878"/>
    <x v="1"/>
  </r>
  <r>
    <s v="Big Data Engineer"/>
    <x v="2"/>
    <x v="0"/>
    <x v="4"/>
    <s v="BCA"/>
    <x v="0"/>
    <n v="1498158"/>
    <n v="1138615"/>
    <x v="2"/>
  </r>
  <r>
    <s v="AI/ML Engineer"/>
    <x v="2"/>
    <x v="1"/>
    <x v="2"/>
    <s v="B.Tech"/>
    <x v="1"/>
    <n v="1731719"/>
    <n v="1390344"/>
    <x v="1"/>
  </r>
  <r>
    <s v="AI/ML Engineer"/>
    <x v="2"/>
    <x v="0"/>
    <x v="6"/>
    <s v="B.Sc"/>
    <x v="2"/>
    <n v="2233304"/>
    <n v="1566497"/>
    <x v="1"/>
  </r>
  <r>
    <s v="Analytics Consultant"/>
    <x v="0"/>
    <x v="1"/>
    <x v="8"/>
    <s v="BCA"/>
    <x v="1"/>
    <n v="639727"/>
    <n v="516260"/>
    <x v="0"/>
  </r>
  <r>
    <s v="AI Researcher"/>
    <x v="0"/>
    <x v="0"/>
    <x v="5"/>
    <s v="M.Sc"/>
    <x v="2"/>
    <n v="1214809"/>
    <n v="963849"/>
    <x v="1"/>
  </r>
  <r>
    <s v="Data Scientist"/>
    <x v="2"/>
    <x v="1"/>
    <x v="0"/>
    <s v="M.Sc"/>
    <x v="3"/>
    <n v="1929899"/>
    <n v="1425650"/>
    <x v="2"/>
  </r>
  <r>
    <s v="AI/ML Engineer"/>
    <x v="1"/>
    <x v="1"/>
    <x v="3"/>
    <s v="BCA"/>
    <x v="1"/>
    <n v="6956509"/>
    <n v="5371864"/>
    <x v="1"/>
  </r>
  <r>
    <s v="AI/ML Engineer"/>
    <x v="1"/>
    <x v="1"/>
    <x v="0"/>
    <s v="B.Sc"/>
    <x v="1"/>
    <n v="4502966"/>
    <n v="3264738"/>
    <x v="1"/>
  </r>
  <r>
    <s v="AI/ML Engineer"/>
    <x v="1"/>
    <x v="0"/>
    <x v="5"/>
    <s v="B.Sc"/>
    <x v="1"/>
    <n v="6529379"/>
    <n v="5018155"/>
    <x v="1"/>
  </r>
  <r>
    <s v="Data Scientist"/>
    <x v="2"/>
    <x v="0"/>
    <x v="1"/>
    <s v="B.Tech"/>
    <x v="0"/>
    <n v="1502533"/>
    <n v="1228170"/>
    <x v="2"/>
  </r>
  <r>
    <s v="AI Researcher"/>
    <x v="1"/>
    <x v="0"/>
    <x v="4"/>
    <s v="B.Tech"/>
    <x v="2"/>
    <n v="6300539"/>
    <n v="4729693"/>
    <x v="1"/>
  </r>
  <r>
    <s v="AI Researcher"/>
    <x v="1"/>
    <x v="1"/>
    <x v="5"/>
    <s v="BCA"/>
    <x v="3"/>
    <n v="4366653"/>
    <n v="3454589"/>
    <x v="1"/>
  </r>
  <r>
    <s v="Analytics Consultant"/>
    <x v="1"/>
    <x v="1"/>
    <x v="2"/>
    <s v="PhD"/>
    <x v="1"/>
    <n v="3120973"/>
    <n v="2220636"/>
    <x v="0"/>
  </r>
  <r>
    <s v="Big Data Engineer"/>
    <x v="1"/>
    <x v="1"/>
    <x v="5"/>
    <s v="MCA"/>
    <x v="1"/>
    <n v="3721387"/>
    <n v="2983558"/>
    <x v="2"/>
  </r>
  <r>
    <s v="Analytics Consultant"/>
    <x v="2"/>
    <x v="0"/>
    <x v="7"/>
    <s v="MCA"/>
    <x v="2"/>
    <n v="1299897"/>
    <n v="934628"/>
    <x v="0"/>
  </r>
  <r>
    <s v="Data Analyst"/>
    <x v="0"/>
    <x v="1"/>
    <x v="7"/>
    <s v="M.Sc"/>
    <x v="1"/>
    <n v="625914"/>
    <n v="448113"/>
    <x v="0"/>
  </r>
  <r>
    <s v="Big Data Engineer"/>
    <x v="1"/>
    <x v="1"/>
    <x v="0"/>
    <s v="M.Sc"/>
    <x v="0"/>
    <n v="3734508"/>
    <n v="3045766"/>
    <x v="2"/>
  </r>
  <r>
    <s v="Analytics Consultant"/>
    <x v="1"/>
    <x v="1"/>
    <x v="8"/>
    <s v="M.Tech"/>
    <x v="3"/>
    <n v="2758196"/>
    <n v="2176566"/>
    <x v="0"/>
  </r>
  <r>
    <s v="AI/ML Engineer"/>
    <x v="0"/>
    <x v="1"/>
    <x v="7"/>
    <s v="PhD"/>
    <x v="1"/>
    <n v="1306086"/>
    <n v="995717"/>
    <x v="1"/>
  </r>
  <r>
    <s v="Data Analyst"/>
    <x v="2"/>
    <x v="0"/>
    <x v="7"/>
    <s v="M.Tech"/>
    <x v="3"/>
    <n v="1619880"/>
    <n v="1136793"/>
    <x v="0"/>
  </r>
  <r>
    <s v="Data Analyst"/>
    <x v="2"/>
    <x v="1"/>
    <x v="5"/>
    <s v="MCA"/>
    <x v="0"/>
    <n v="1392970"/>
    <n v="1003736"/>
    <x v="0"/>
  </r>
  <r>
    <s v="AI/ML Engineer"/>
    <x v="0"/>
    <x v="0"/>
    <x v="1"/>
    <s v="M.Tech"/>
    <x v="3"/>
    <n v="1218594"/>
    <n v="968648"/>
    <x v="1"/>
  </r>
  <r>
    <s v="Big Data Engineer"/>
    <x v="2"/>
    <x v="0"/>
    <x v="0"/>
    <s v="B.Tech"/>
    <x v="2"/>
    <n v="2280467"/>
    <n v="1819844"/>
    <x v="2"/>
  </r>
  <r>
    <s v="Analytics Consultant"/>
    <x v="0"/>
    <x v="1"/>
    <x v="7"/>
    <s v="M.Tech"/>
    <x v="1"/>
    <n v="765698"/>
    <n v="567083"/>
    <x v="0"/>
  </r>
  <r>
    <s v="Analytics Consultant"/>
    <x v="2"/>
    <x v="1"/>
    <x v="0"/>
    <s v="B.Sc"/>
    <x v="0"/>
    <n v="1548718"/>
    <n v="1120070"/>
    <x v="0"/>
  </r>
  <r>
    <s v="Big Data Engineer"/>
    <x v="0"/>
    <x v="1"/>
    <x v="0"/>
    <s v="BCA"/>
    <x v="0"/>
    <n v="858131"/>
    <n v="677437"/>
    <x v="2"/>
  </r>
  <r>
    <s v="AI Researcher"/>
    <x v="2"/>
    <x v="1"/>
    <x v="3"/>
    <s v="B.Tech"/>
    <x v="0"/>
    <n v="2868502"/>
    <n v="2249922"/>
    <x v="1"/>
  </r>
  <r>
    <s v="Data Scientist"/>
    <x v="2"/>
    <x v="1"/>
    <x v="8"/>
    <s v="M.Tech"/>
    <x v="2"/>
    <n v="1214493"/>
    <n v="917775"/>
    <x v="2"/>
  </r>
  <r>
    <s v="Big Data Engineer"/>
    <x v="1"/>
    <x v="0"/>
    <x v="8"/>
    <s v="PhD"/>
    <x v="1"/>
    <n v="3971992"/>
    <n v="2798486"/>
    <x v="2"/>
  </r>
  <r>
    <s v="Analytics Consultant"/>
    <x v="0"/>
    <x v="0"/>
    <x v="3"/>
    <s v="M.Sc"/>
    <x v="0"/>
    <n v="500272"/>
    <n v="378045"/>
    <x v="0"/>
  </r>
  <r>
    <s v="Data Scientist"/>
    <x v="2"/>
    <x v="0"/>
    <x v="5"/>
    <s v="B.Tech"/>
    <x v="0"/>
    <n v="2144724"/>
    <n v="1522155"/>
    <x v="2"/>
  </r>
  <r>
    <s v="Data Analyst"/>
    <x v="2"/>
    <x v="0"/>
    <x v="4"/>
    <s v="BCA"/>
    <x v="0"/>
    <n v="972658"/>
    <n v="761264"/>
    <x v="0"/>
  </r>
  <r>
    <s v="Data Analyst"/>
    <x v="2"/>
    <x v="0"/>
    <x v="6"/>
    <s v="M.Tech"/>
    <x v="3"/>
    <n v="1289078"/>
    <n v="908456"/>
    <x v="0"/>
  </r>
  <r>
    <s v="Data Scientist"/>
    <x v="1"/>
    <x v="1"/>
    <x v="8"/>
    <s v="M.Tech"/>
    <x v="2"/>
    <n v="5321440"/>
    <n v="4066883"/>
    <x v="2"/>
  </r>
  <r>
    <s v="Analytics Consultant"/>
    <x v="1"/>
    <x v="0"/>
    <x v="0"/>
    <s v="BCA"/>
    <x v="3"/>
    <n v="4426031"/>
    <n v="3422819"/>
    <x v="0"/>
  </r>
  <r>
    <s v="AI Researcher"/>
    <x v="1"/>
    <x v="1"/>
    <x v="5"/>
    <s v="MCA"/>
    <x v="2"/>
    <n v="5891684"/>
    <n v="4514547"/>
    <x v="1"/>
  </r>
  <r>
    <s v="AI/ML Engineer"/>
    <x v="0"/>
    <x v="0"/>
    <x v="7"/>
    <s v="M.Tech"/>
    <x v="0"/>
    <n v="1199211"/>
    <n v="908772"/>
    <x v="1"/>
  </r>
  <r>
    <s v="Big Data Engineer"/>
    <x v="1"/>
    <x v="0"/>
    <x v="0"/>
    <s v="MCA"/>
    <x v="3"/>
    <n v="2829386"/>
    <n v="2043830"/>
    <x v="2"/>
  </r>
  <r>
    <s v="Data Scientist"/>
    <x v="1"/>
    <x v="1"/>
    <x v="1"/>
    <s v="BCA"/>
    <x v="1"/>
    <n v="2717357"/>
    <n v="2154662"/>
    <x v="2"/>
  </r>
  <r>
    <s v="Data Analyst"/>
    <x v="1"/>
    <x v="0"/>
    <x v="6"/>
    <s v="MCA"/>
    <x v="3"/>
    <n v="2469282"/>
    <n v="1987784"/>
    <x v="0"/>
  </r>
  <r>
    <s v="Big Data Engineer"/>
    <x v="2"/>
    <x v="1"/>
    <x v="5"/>
    <s v="BCA"/>
    <x v="1"/>
    <n v="2497894"/>
    <n v="1858965"/>
    <x v="2"/>
  </r>
  <r>
    <s v="Analytics Consultant"/>
    <x v="0"/>
    <x v="1"/>
    <x v="2"/>
    <s v="BCA"/>
    <x v="2"/>
    <n v="519521"/>
    <n v="364664"/>
    <x v="0"/>
  </r>
  <r>
    <s v="Analytics Consultant"/>
    <x v="2"/>
    <x v="0"/>
    <x v="5"/>
    <s v="MCA"/>
    <x v="2"/>
    <n v="1795317"/>
    <n v="1272906"/>
    <x v="0"/>
  </r>
  <r>
    <s v="AI Researcher"/>
    <x v="2"/>
    <x v="0"/>
    <x v="5"/>
    <s v="M.Sc"/>
    <x v="1"/>
    <n v="2185270"/>
    <n v="1656970"/>
    <x v="1"/>
  </r>
  <r>
    <s v="Data Scientist"/>
    <x v="2"/>
    <x v="0"/>
    <x v="1"/>
    <s v="B.Sc"/>
    <x v="3"/>
    <n v="1510220"/>
    <n v="1119466"/>
    <x v="2"/>
  </r>
  <r>
    <s v="Big Data Engineer"/>
    <x v="0"/>
    <x v="1"/>
    <x v="4"/>
    <s v="M.Tech"/>
    <x v="1"/>
    <n v="1104120"/>
    <n v="834512"/>
    <x v="2"/>
  </r>
  <r>
    <s v="Data Analyst"/>
    <x v="1"/>
    <x v="1"/>
    <x v="7"/>
    <s v="MCA"/>
    <x v="0"/>
    <n v="2353805"/>
    <n v="1740826"/>
    <x v="0"/>
  </r>
  <r>
    <s v="Big Data Engineer"/>
    <x v="2"/>
    <x v="0"/>
    <x v="5"/>
    <s v="B.Tech"/>
    <x v="0"/>
    <n v="2381273"/>
    <n v="1711320"/>
    <x v="2"/>
  </r>
  <r>
    <s v="AI/ML Engineer"/>
    <x v="0"/>
    <x v="0"/>
    <x v="5"/>
    <s v="B.Sc"/>
    <x v="0"/>
    <n v="656074"/>
    <n v="530419"/>
    <x v="1"/>
  </r>
  <r>
    <s v="AI/ML Engineer"/>
    <x v="0"/>
    <x v="1"/>
    <x v="6"/>
    <s v="M.Tech"/>
    <x v="1"/>
    <n v="1119937"/>
    <n v="839720"/>
    <x v="1"/>
  </r>
  <r>
    <s v="Analytics Consultant"/>
    <x v="1"/>
    <x v="0"/>
    <x v="5"/>
    <s v="MCA"/>
    <x v="0"/>
    <n v="4744095"/>
    <n v="3469515"/>
    <x v="0"/>
  </r>
  <r>
    <s v="AI Researcher"/>
    <x v="1"/>
    <x v="1"/>
    <x v="6"/>
    <s v="PhD"/>
    <x v="0"/>
    <n v="6633645"/>
    <n v="5120847"/>
    <x v="1"/>
  </r>
  <r>
    <s v="Big Data Engineer"/>
    <x v="1"/>
    <x v="1"/>
    <x v="5"/>
    <s v="B.Sc"/>
    <x v="2"/>
    <n v="2888285"/>
    <n v="2058454"/>
    <x v="2"/>
  </r>
  <r>
    <s v="Big Data Engineer"/>
    <x v="1"/>
    <x v="0"/>
    <x v="3"/>
    <s v="MCA"/>
    <x v="3"/>
    <n v="4368879"/>
    <n v="3299195"/>
    <x v="2"/>
  </r>
  <r>
    <s v="Data Scientist"/>
    <x v="0"/>
    <x v="1"/>
    <x v="3"/>
    <s v="MCA"/>
    <x v="2"/>
    <n v="575272"/>
    <n v="445628"/>
    <x v="2"/>
  </r>
  <r>
    <s v="Big Data Engineer"/>
    <x v="2"/>
    <x v="1"/>
    <x v="5"/>
    <s v="B.Tech"/>
    <x v="1"/>
    <n v="2356744"/>
    <n v="1893332"/>
    <x v="2"/>
  </r>
  <r>
    <s v="AI Researcher"/>
    <x v="2"/>
    <x v="1"/>
    <x v="2"/>
    <s v="M.Sc"/>
    <x v="3"/>
    <n v="1739992"/>
    <n v="1378560"/>
    <x v="1"/>
  </r>
  <r>
    <s v="AI/ML Engineer"/>
    <x v="0"/>
    <x v="1"/>
    <x v="7"/>
    <s v="M.Sc"/>
    <x v="1"/>
    <n v="1205706"/>
    <n v="857833"/>
    <x v="1"/>
  </r>
  <r>
    <s v="Data Scientist"/>
    <x v="0"/>
    <x v="1"/>
    <x v="6"/>
    <s v="B.Tech"/>
    <x v="3"/>
    <n v="968889"/>
    <n v="711259"/>
    <x v="2"/>
  </r>
  <r>
    <s v="AI Researcher"/>
    <x v="0"/>
    <x v="1"/>
    <x v="4"/>
    <s v="MCA"/>
    <x v="0"/>
    <n v="1020917"/>
    <n v="804108"/>
    <x v="1"/>
  </r>
  <r>
    <s v="Data Scientist"/>
    <x v="0"/>
    <x v="0"/>
    <x v="5"/>
    <s v="PhD"/>
    <x v="0"/>
    <n v="1099428"/>
    <n v="794560"/>
    <x v="2"/>
  </r>
  <r>
    <s v="Data Analyst"/>
    <x v="0"/>
    <x v="0"/>
    <x v="4"/>
    <s v="BCA"/>
    <x v="0"/>
    <n v="638972"/>
    <n v="480863"/>
    <x v="0"/>
  </r>
  <r>
    <s v="Big Data Engineer"/>
    <x v="0"/>
    <x v="0"/>
    <x v="5"/>
    <s v="MCA"/>
    <x v="0"/>
    <n v="772247"/>
    <n v="601327"/>
    <x v="2"/>
  </r>
  <r>
    <s v="Big Data Engineer"/>
    <x v="1"/>
    <x v="1"/>
    <x v="0"/>
    <s v="BCA"/>
    <x v="3"/>
    <n v="3185760"/>
    <n v="2577846"/>
    <x v="2"/>
  </r>
  <r>
    <s v="Big Data Engineer"/>
    <x v="0"/>
    <x v="1"/>
    <x v="2"/>
    <s v="B.Sc"/>
    <x v="3"/>
    <n v="831384"/>
    <n v="621980"/>
    <x v="2"/>
  </r>
  <r>
    <s v="AI Researcher"/>
    <x v="0"/>
    <x v="0"/>
    <x v="0"/>
    <s v="B.Sc"/>
    <x v="1"/>
    <n v="1279329"/>
    <n v="972207"/>
    <x v="1"/>
  </r>
  <r>
    <s v="Analytics Consultant"/>
    <x v="2"/>
    <x v="0"/>
    <x v="8"/>
    <s v="MCA"/>
    <x v="2"/>
    <n v="1590239"/>
    <n v="1188682"/>
    <x v="0"/>
  </r>
  <r>
    <s v="Analytics Consultant"/>
    <x v="0"/>
    <x v="0"/>
    <x v="3"/>
    <s v="MCA"/>
    <x v="0"/>
    <n v="733641"/>
    <n v="571169"/>
    <x v="0"/>
  </r>
  <r>
    <s v="Big Data Engineer"/>
    <x v="2"/>
    <x v="0"/>
    <x v="3"/>
    <s v="B.Sc"/>
    <x v="2"/>
    <n v="2382076"/>
    <n v="1845214"/>
    <x v="2"/>
  </r>
  <r>
    <s v="AI/ML Engineer"/>
    <x v="0"/>
    <x v="1"/>
    <x v="4"/>
    <s v="B.Tech"/>
    <x v="3"/>
    <n v="1289213"/>
    <n v="960712"/>
    <x v="1"/>
  </r>
  <r>
    <s v="Analytics Consultant"/>
    <x v="2"/>
    <x v="1"/>
    <x v="1"/>
    <s v="BCA"/>
    <x v="3"/>
    <n v="1894929"/>
    <n v="1445347"/>
    <x v="0"/>
  </r>
  <r>
    <s v="AI Researcher"/>
    <x v="2"/>
    <x v="1"/>
    <x v="4"/>
    <s v="B.Sc"/>
    <x v="0"/>
    <n v="1632126"/>
    <n v="1328568"/>
    <x v="1"/>
  </r>
  <r>
    <s v="AI/ML Engineer"/>
    <x v="2"/>
    <x v="1"/>
    <x v="3"/>
    <s v="PhD"/>
    <x v="0"/>
    <n v="2989915"/>
    <n v="2283882"/>
    <x v="1"/>
  </r>
  <r>
    <s v="Big Data Engineer"/>
    <x v="2"/>
    <x v="1"/>
    <x v="2"/>
    <s v="B.Sc"/>
    <x v="0"/>
    <n v="1739300"/>
    <n v="1360112"/>
    <x v="2"/>
  </r>
  <r>
    <s v="Analytics Consultant"/>
    <x v="0"/>
    <x v="1"/>
    <x v="5"/>
    <s v="B.Tech"/>
    <x v="1"/>
    <n v="1175121"/>
    <n v="940759"/>
    <x v="0"/>
  </r>
  <r>
    <s v="AI/ML Engineer"/>
    <x v="2"/>
    <x v="0"/>
    <x v="2"/>
    <s v="M.Tech"/>
    <x v="2"/>
    <n v="1756171"/>
    <n v="1276991"/>
    <x v="1"/>
  </r>
  <r>
    <s v="Data Analyst"/>
    <x v="1"/>
    <x v="0"/>
    <x v="1"/>
    <s v="MCA"/>
    <x v="0"/>
    <n v="2043737"/>
    <n v="1496397"/>
    <x v="0"/>
  </r>
  <r>
    <s v="Data Scientist"/>
    <x v="2"/>
    <x v="0"/>
    <x v="7"/>
    <s v="B.Tech"/>
    <x v="2"/>
    <n v="1336381"/>
    <n v="1053132"/>
    <x v="2"/>
  </r>
  <r>
    <s v="Analytics Consultant"/>
    <x v="2"/>
    <x v="1"/>
    <x v="8"/>
    <s v="M.Sc"/>
    <x v="3"/>
    <n v="2225901"/>
    <n v="1668291"/>
    <x v="0"/>
  </r>
  <r>
    <s v="AI/ML Engineer"/>
    <x v="2"/>
    <x v="0"/>
    <x v="3"/>
    <s v="B.Tech"/>
    <x v="3"/>
    <n v="2518764"/>
    <n v="1828926"/>
    <x v="1"/>
  </r>
  <r>
    <s v="Big Data Engineer"/>
    <x v="1"/>
    <x v="0"/>
    <x v="2"/>
    <s v="BCA"/>
    <x v="3"/>
    <n v="2916142"/>
    <n v="2129786"/>
    <x v="2"/>
  </r>
  <r>
    <s v="Analytics Consultant"/>
    <x v="1"/>
    <x v="0"/>
    <x v="8"/>
    <s v="B.Tech"/>
    <x v="1"/>
    <n v="4932229"/>
    <n v="3542165"/>
    <x v="0"/>
  </r>
  <r>
    <s v="AI Researcher"/>
    <x v="1"/>
    <x v="0"/>
    <x v="5"/>
    <s v="BCA"/>
    <x v="3"/>
    <n v="3795980"/>
    <n v="2816807"/>
    <x v="1"/>
  </r>
  <r>
    <s v="AI/ML Engineer"/>
    <x v="0"/>
    <x v="0"/>
    <x v="3"/>
    <s v="M.Tech"/>
    <x v="0"/>
    <n v="722122"/>
    <n v="530847"/>
    <x v="1"/>
  </r>
  <r>
    <s v="Data Scientist"/>
    <x v="1"/>
    <x v="0"/>
    <x v="8"/>
    <s v="MCA"/>
    <x v="0"/>
    <n v="4773681"/>
    <n v="3453133"/>
    <x v="2"/>
  </r>
  <r>
    <s v="AI Researcher"/>
    <x v="1"/>
    <x v="0"/>
    <x v="7"/>
    <s v="M.Tech"/>
    <x v="2"/>
    <n v="4330643"/>
    <n v="3398749"/>
    <x v="1"/>
  </r>
  <r>
    <s v="Data Scientist"/>
    <x v="0"/>
    <x v="0"/>
    <x v="0"/>
    <s v="PhD"/>
    <x v="2"/>
    <n v="630013"/>
    <n v="460412"/>
    <x v="2"/>
  </r>
  <r>
    <s v="Analytics Consultant"/>
    <x v="2"/>
    <x v="1"/>
    <x v="6"/>
    <s v="PhD"/>
    <x v="1"/>
    <n v="1353217"/>
    <n v="980179"/>
    <x v="0"/>
  </r>
  <r>
    <s v="AI/ML Engineer"/>
    <x v="1"/>
    <x v="0"/>
    <x v="1"/>
    <s v="M.Sc"/>
    <x v="0"/>
    <n v="4216381"/>
    <n v="3165251"/>
    <x v="1"/>
  </r>
  <r>
    <s v="Big Data Engineer"/>
    <x v="1"/>
    <x v="1"/>
    <x v="7"/>
    <s v="PhD"/>
    <x v="3"/>
    <n v="4712422"/>
    <n v="3756466"/>
    <x v="2"/>
  </r>
  <r>
    <s v="AI Researcher"/>
    <x v="2"/>
    <x v="1"/>
    <x v="6"/>
    <s v="PhD"/>
    <x v="3"/>
    <n v="2731233"/>
    <n v="2217944"/>
    <x v="1"/>
  </r>
  <r>
    <s v="Analytics Consultant"/>
    <x v="1"/>
    <x v="0"/>
    <x v="7"/>
    <s v="BCA"/>
    <x v="3"/>
    <n v="2652451"/>
    <n v="2124645"/>
    <x v="0"/>
  </r>
  <r>
    <s v="AI Researcher"/>
    <x v="2"/>
    <x v="0"/>
    <x v="7"/>
    <s v="MCA"/>
    <x v="3"/>
    <n v="3157840"/>
    <n v="2333497"/>
    <x v="1"/>
  </r>
  <r>
    <s v="AI/ML Engineer"/>
    <x v="0"/>
    <x v="0"/>
    <x v="8"/>
    <s v="B.Tech"/>
    <x v="1"/>
    <n v="1220222"/>
    <n v="890817"/>
    <x v="1"/>
  </r>
  <r>
    <s v="Data Scientist"/>
    <x v="2"/>
    <x v="1"/>
    <x v="3"/>
    <s v="BCA"/>
    <x v="0"/>
    <n v="1813663"/>
    <n v="1385631"/>
    <x v="2"/>
  </r>
  <r>
    <s v="AI Researcher"/>
    <x v="2"/>
    <x v="0"/>
    <x v="0"/>
    <s v="M.Tech"/>
    <x v="0"/>
    <n v="3085767"/>
    <n v="2509295"/>
    <x v="1"/>
  </r>
  <r>
    <s v="Data Analyst"/>
    <x v="0"/>
    <x v="0"/>
    <x v="5"/>
    <s v="PhD"/>
    <x v="3"/>
    <n v="635108"/>
    <n v="507079"/>
    <x v="0"/>
  </r>
  <r>
    <s v="Data Analyst"/>
    <x v="0"/>
    <x v="1"/>
    <x v="5"/>
    <s v="M.Sc"/>
    <x v="0"/>
    <n v="560941"/>
    <n v="447709"/>
    <x v="0"/>
  </r>
  <r>
    <s v="Analytics Consultant"/>
    <x v="1"/>
    <x v="0"/>
    <x v="7"/>
    <s v="BCA"/>
    <x v="0"/>
    <n v="4054640"/>
    <n v="3010897"/>
    <x v="0"/>
  </r>
  <r>
    <s v="AI Researcher"/>
    <x v="1"/>
    <x v="0"/>
    <x v="7"/>
    <s v="BCA"/>
    <x v="0"/>
    <n v="5278543"/>
    <n v="4182383"/>
    <x v="1"/>
  </r>
  <r>
    <s v="Analytics Consultant"/>
    <x v="2"/>
    <x v="0"/>
    <x v="0"/>
    <s v="M.Tech"/>
    <x v="0"/>
    <n v="1233990"/>
    <n v="1007677"/>
    <x v="0"/>
  </r>
  <r>
    <s v="Data Analyst"/>
    <x v="2"/>
    <x v="0"/>
    <x v="8"/>
    <s v="M.Tech"/>
    <x v="1"/>
    <n v="1372213"/>
    <n v="1113998"/>
    <x v="0"/>
  </r>
  <r>
    <s v="AI/ML Engineer"/>
    <x v="2"/>
    <x v="0"/>
    <x v="7"/>
    <s v="B.Tech"/>
    <x v="3"/>
    <n v="2424694"/>
    <n v="1906901"/>
    <x v="1"/>
  </r>
  <r>
    <s v="Data Analyst"/>
    <x v="2"/>
    <x v="1"/>
    <x v="5"/>
    <s v="B.Tech"/>
    <x v="0"/>
    <n v="862082"/>
    <n v="661741"/>
    <x v="0"/>
  </r>
  <r>
    <s v="AI/ML Engineer"/>
    <x v="2"/>
    <x v="1"/>
    <x v="5"/>
    <s v="BCA"/>
    <x v="2"/>
    <n v="1544233"/>
    <n v="1089989"/>
    <x v="1"/>
  </r>
  <r>
    <s v="Data Analyst"/>
    <x v="0"/>
    <x v="0"/>
    <x v="6"/>
    <s v="B.Tech"/>
    <x v="2"/>
    <n v="479731"/>
    <n v="359681"/>
    <x v="0"/>
  </r>
  <r>
    <s v="Data Scientist"/>
    <x v="0"/>
    <x v="1"/>
    <x v="7"/>
    <s v="B.Sc"/>
    <x v="0"/>
    <n v="776537"/>
    <n v="550969"/>
    <x v="2"/>
  </r>
  <r>
    <s v="Big Data Engineer"/>
    <x v="1"/>
    <x v="1"/>
    <x v="5"/>
    <s v="B.Sc"/>
    <x v="0"/>
    <n v="3735230"/>
    <n v="2879241"/>
    <x v="2"/>
  </r>
  <r>
    <s v="Analytics Consultant"/>
    <x v="2"/>
    <x v="0"/>
    <x v="1"/>
    <s v="PhD"/>
    <x v="2"/>
    <n v="1288041"/>
    <n v="901949"/>
    <x v="0"/>
  </r>
  <r>
    <s v="Data Scientist"/>
    <x v="2"/>
    <x v="1"/>
    <x v="7"/>
    <s v="M.Sc"/>
    <x v="2"/>
    <n v="1795317"/>
    <n v="1338990"/>
    <x v="2"/>
  </r>
  <r>
    <s v="Data Analyst"/>
    <x v="2"/>
    <x v="1"/>
    <x v="2"/>
    <s v="B.Tech"/>
    <x v="1"/>
    <n v="1745811"/>
    <n v="1291674"/>
    <x v="0"/>
  </r>
  <r>
    <s v="Big Data Engineer"/>
    <x v="2"/>
    <x v="0"/>
    <x v="3"/>
    <s v="BCA"/>
    <x v="3"/>
    <n v="1617072"/>
    <n v="1193626"/>
    <x v="2"/>
  </r>
  <r>
    <s v="Big Data Engineer"/>
    <x v="2"/>
    <x v="1"/>
    <x v="5"/>
    <s v="B.Sc"/>
    <x v="1"/>
    <n v="1322876"/>
    <n v="1060138"/>
    <x v="2"/>
  </r>
  <r>
    <s v="AI Researcher"/>
    <x v="2"/>
    <x v="0"/>
    <x v="3"/>
    <s v="MCA"/>
    <x v="2"/>
    <n v="2046251"/>
    <n v="1466390"/>
    <x v="1"/>
  </r>
  <r>
    <s v="AI Researcher"/>
    <x v="1"/>
    <x v="0"/>
    <x v="6"/>
    <s v="PhD"/>
    <x v="1"/>
    <n v="5301408"/>
    <n v="4049700"/>
    <x v="1"/>
  </r>
  <r>
    <s v="Data Scientist"/>
    <x v="0"/>
    <x v="0"/>
    <x v="5"/>
    <s v="B.Tech"/>
    <x v="1"/>
    <n v="470812"/>
    <n v="352751"/>
    <x v="2"/>
  </r>
  <r>
    <s v="AI Researcher"/>
    <x v="1"/>
    <x v="0"/>
    <x v="0"/>
    <s v="B.Tech"/>
    <x v="2"/>
    <n v="5663328"/>
    <n v="4471430"/>
    <x v="1"/>
  </r>
  <r>
    <s v="Data Analyst"/>
    <x v="2"/>
    <x v="1"/>
    <x v="5"/>
    <s v="M.Sc"/>
    <x v="3"/>
    <n v="1763512"/>
    <n v="1291769"/>
    <x v="0"/>
  </r>
  <r>
    <s v="Analytics Consultant"/>
    <x v="1"/>
    <x v="0"/>
    <x v="2"/>
    <s v="PhD"/>
    <x v="1"/>
    <n v="4438451"/>
    <n v="3207778"/>
    <x v="0"/>
  </r>
  <r>
    <s v="Big Data Engineer"/>
    <x v="0"/>
    <x v="1"/>
    <x v="8"/>
    <s v="B.Tech"/>
    <x v="2"/>
    <n v="639562"/>
    <n v="464336"/>
    <x v="2"/>
  </r>
  <r>
    <s v="Data Scientist"/>
    <x v="1"/>
    <x v="1"/>
    <x v="1"/>
    <s v="MCA"/>
    <x v="3"/>
    <n v="3272024"/>
    <n v="2329585"/>
    <x v="2"/>
  </r>
  <r>
    <s v="AI Researcher"/>
    <x v="1"/>
    <x v="1"/>
    <x v="0"/>
    <s v="BCA"/>
    <x v="3"/>
    <n v="3664673"/>
    <n v="2960385"/>
    <x v="1"/>
  </r>
  <r>
    <s v="Analytics Consultant"/>
    <x v="0"/>
    <x v="0"/>
    <x v="4"/>
    <s v="B.Tech"/>
    <x v="3"/>
    <n v="887409"/>
    <n v="640080"/>
    <x v="0"/>
  </r>
  <r>
    <s v="Data Analyst"/>
    <x v="0"/>
    <x v="1"/>
    <x v="7"/>
    <s v="B.Sc"/>
    <x v="2"/>
    <n v="351666"/>
    <n v="271929"/>
    <x v="0"/>
  </r>
  <r>
    <s v="Analytics Consultant"/>
    <x v="0"/>
    <x v="0"/>
    <x v="2"/>
    <s v="PhD"/>
    <x v="3"/>
    <n v="658511"/>
    <n v="497299"/>
    <x v="0"/>
  </r>
  <r>
    <s v="Analytics Consultant"/>
    <x v="0"/>
    <x v="1"/>
    <x v="2"/>
    <s v="MCA"/>
    <x v="0"/>
    <n v="799046"/>
    <n v="632654"/>
    <x v="0"/>
  </r>
  <r>
    <s v="AI Researcher"/>
    <x v="0"/>
    <x v="1"/>
    <x v="0"/>
    <s v="PhD"/>
    <x v="2"/>
    <n v="1463354"/>
    <n v="1172181"/>
    <x v="1"/>
  </r>
  <r>
    <s v="Data Scientist"/>
    <x v="1"/>
    <x v="0"/>
    <x v="3"/>
    <s v="BCA"/>
    <x v="2"/>
    <n v="3618987"/>
    <n v="2718072"/>
    <x v="2"/>
  </r>
  <r>
    <s v="Analytics Consultant"/>
    <x v="0"/>
    <x v="0"/>
    <x v="1"/>
    <s v="BCA"/>
    <x v="0"/>
    <n v="1109968"/>
    <n v="777266"/>
    <x v="0"/>
  </r>
  <r>
    <s v="AI Researcher"/>
    <x v="2"/>
    <x v="0"/>
    <x v="7"/>
    <s v="M.Sc"/>
    <x v="1"/>
    <n v="1675446"/>
    <n v="1217438"/>
    <x v="1"/>
  </r>
  <r>
    <s v="Data Analyst"/>
    <x v="1"/>
    <x v="1"/>
    <x v="6"/>
    <s v="PhD"/>
    <x v="3"/>
    <n v="2806931"/>
    <n v="2111804"/>
    <x v="0"/>
  </r>
  <r>
    <s v="AI/ML Engineer"/>
    <x v="2"/>
    <x v="0"/>
    <x v="6"/>
    <s v="BCA"/>
    <x v="0"/>
    <n v="1672226"/>
    <n v="1354732"/>
    <x v="1"/>
  </r>
  <r>
    <s v="Data Analyst"/>
    <x v="2"/>
    <x v="1"/>
    <x v="1"/>
    <s v="M.Tech"/>
    <x v="0"/>
    <n v="825114"/>
    <n v="636330"/>
    <x v="0"/>
  </r>
  <r>
    <s v="Data Analyst"/>
    <x v="1"/>
    <x v="0"/>
    <x v="5"/>
    <s v="B.Tech"/>
    <x v="2"/>
    <n v="2089833"/>
    <n v="1675576"/>
    <x v="0"/>
  </r>
  <r>
    <s v="Data Analyst"/>
    <x v="1"/>
    <x v="1"/>
    <x v="8"/>
    <s v="MCA"/>
    <x v="2"/>
    <n v="2479699"/>
    <n v="1854164"/>
    <x v="0"/>
  </r>
  <r>
    <s v="Data Scientist"/>
    <x v="0"/>
    <x v="0"/>
    <x v="1"/>
    <s v="M.Tech"/>
    <x v="3"/>
    <n v="410421"/>
    <n v="312718"/>
    <x v="2"/>
  </r>
  <r>
    <s v="AI/ML Engineer"/>
    <x v="1"/>
    <x v="1"/>
    <x v="6"/>
    <s v="M.Sc"/>
    <x v="2"/>
    <n v="3319775"/>
    <n v="2458472"/>
    <x v="1"/>
  </r>
  <r>
    <s v="AI Researcher"/>
    <x v="0"/>
    <x v="1"/>
    <x v="8"/>
    <s v="PhD"/>
    <x v="0"/>
    <n v="870900"/>
    <n v="700304"/>
    <x v="1"/>
  </r>
  <r>
    <s v="AI/ML Engineer"/>
    <x v="2"/>
    <x v="0"/>
    <x v="3"/>
    <s v="B.Tech"/>
    <x v="2"/>
    <n v="1807729"/>
    <n v="1380196"/>
    <x v="1"/>
  </r>
  <r>
    <s v="Data Analyst"/>
    <x v="2"/>
    <x v="1"/>
    <x v="5"/>
    <s v="B.Sc"/>
    <x v="1"/>
    <n v="1302488"/>
    <n v="1041777"/>
    <x v="0"/>
  </r>
  <r>
    <s v="Big Data Engineer"/>
    <x v="2"/>
    <x v="0"/>
    <x v="2"/>
    <s v="B.Sc"/>
    <x v="2"/>
    <n v="1572756"/>
    <n v="1256386"/>
    <x v="2"/>
  </r>
  <r>
    <s v="Data Scientist"/>
    <x v="1"/>
    <x v="0"/>
    <x v="4"/>
    <s v="B.Tech"/>
    <x v="2"/>
    <n v="3908868"/>
    <n v="2978963"/>
    <x v="2"/>
  </r>
  <r>
    <s v="Data Scientist"/>
    <x v="1"/>
    <x v="1"/>
    <x v="3"/>
    <s v="PhD"/>
    <x v="3"/>
    <n v="5858335"/>
    <n v="4347488"/>
    <x v="2"/>
  </r>
  <r>
    <s v="AI Researcher"/>
    <x v="2"/>
    <x v="0"/>
    <x v="4"/>
    <s v="B.Sc"/>
    <x v="0"/>
    <n v="2752020"/>
    <n v="2143967"/>
    <x v="1"/>
  </r>
  <r>
    <s v="Data Analyst"/>
    <x v="2"/>
    <x v="0"/>
    <x v="3"/>
    <s v="M.Tech"/>
    <x v="2"/>
    <n v="1212074"/>
    <n v="857738"/>
    <x v="0"/>
  </r>
  <r>
    <s v="AI/ML Engineer"/>
    <x v="1"/>
    <x v="1"/>
    <x v="2"/>
    <s v="MCA"/>
    <x v="1"/>
    <n v="3586103"/>
    <n v="2569969"/>
    <x v="1"/>
  </r>
  <r>
    <s v="AI/ML Engineer"/>
    <x v="2"/>
    <x v="0"/>
    <x v="2"/>
    <s v="B.Tech"/>
    <x v="1"/>
    <n v="1597760"/>
    <n v="1269178"/>
    <x v="1"/>
  </r>
  <r>
    <s v="Data Scientist"/>
    <x v="1"/>
    <x v="0"/>
    <x v="8"/>
    <s v="PhD"/>
    <x v="2"/>
    <n v="5218145"/>
    <n v="3958245"/>
    <x v="2"/>
  </r>
  <r>
    <s v="Analytics Consultant"/>
    <x v="2"/>
    <x v="0"/>
    <x v="7"/>
    <s v="B.Tech"/>
    <x v="2"/>
    <n v="1409799"/>
    <n v="1002576"/>
    <x v="0"/>
  </r>
  <r>
    <s v="Big Data Engineer"/>
    <x v="1"/>
    <x v="0"/>
    <x v="8"/>
    <s v="B.Sc"/>
    <x v="0"/>
    <n v="4965757"/>
    <n v="3758653"/>
    <x v="2"/>
  </r>
  <r>
    <s v="Big Data Engineer"/>
    <x v="0"/>
    <x v="0"/>
    <x v="1"/>
    <s v="PhD"/>
    <x v="0"/>
    <n v="537951"/>
    <n v="384032"/>
    <x v="2"/>
  </r>
  <r>
    <s v="Big Data Engineer"/>
    <x v="1"/>
    <x v="0"/>
    <x v="0"/>
    <s v="B.Tech"/>
    <x v="1"/>
    <n v="3394787"/>
    <n v="2607450"/>
    <x v="2"/>
  </r>
  <r>
    <s v="Big Data Engineer"/>
    <x v="0"/>
    <x v="1"/>
    <x v="0"/>
    <s v="MCA"/>
    <x v="1"/>
    <n v="889058"/>
    <n v="650507"/>
    <x v="2"/>
  </r>
  <r>
    <s v="AI Researcher"/>
    <x v="1"/>
    <x v="1"/>
    <x v="3"/>
    <s v="BCA"/>
    <x v="3"/>
    <n v="4296237"/>
    <n v="3166753"/>
    <x v="1"/>
  </r>
  <r>
    <s v="Data Scientist"/>
    <x v="1"/>
    <x v="1"/>
    <x v="8"/>
    <s v="M.Tech"/>
    <x v="3"/>
    <n v="5962296"/>
    <n v="4207197"/>
    <x v="2"/>
  </r>
  <r>
    <s v="Big Data Engineer"/>
    <x v="0"/>
    <x v="1"/>
    <x v="6"/>
    <s v="M.Tech"/>
    <x v="1"/>
    <n v="1092946"/>
    <n v="880286"/>
    <x v="2"/>
  </r>
  <r>
    <s v="Big Data Engineer"/>
    <x v="2"/>
    <x v="0"/>
    <x v="7"/>
    <s v="BCA"/>
    <x v="3"/>
    <n v="2204845"/>
    <n v="1728423"/>
    <x v="2"/>
  </r>
  <r>
    <s v="AI/ML Engineer"/>
    <x v="1"/>
    <x v="0"/>
    <x v="5"/>
    <s v="B.Tech"/>
    <x v="1"/>
    <n v="4010288"/>
    <n v="3001195"/>
    <x v="1"/>
  </r>
  <r>
    <s v="Data Analyst"/>
    <x v="1"/>
    <x v="1"/>
    <x v="3"/>
    <s v="B.Tech"/>
    <x v="1"/>
    <n v="3280128"/>
    <n v="2597844"/>
    <x v="0"/>
  </r>
  <r>
    <s v="Big Data Engineer"/>
    <x v="2"/>
    <x v="1"/>
    <x v="7"/>
    <s v="BCA"/>
    <x v="3"/>
    <n v="2410266"/>
    <n v="1843778"/>
    <x v="2"/>
  </r>
  <r>
    <s v="Data Analyst"/>
    <x v="1"/>
    <x v="0"/>
    <x v="6"/>
    <s v="PhD"/>
    <x v="3"/>
    <n v="2829608"/>
    <n v="2271849"/>
    <x v="0"/>
  </r>
  <r>
    <s v="Big Data Engineer"/>
    <x v="2"/>
    <x v="0"/>
    <x v="1"/>
    <s v="B.Sc"/>
    <x v="0"/>
    <n v="1663280"/>
    <n v="1265559"/>
    <x v="2"/>
  </r>
  <r>
    <s v="Analytics Consultant"/>
    <x v="1"/>
    <x v="0"/>
    <x v="6"/>
    <s v="M.Sc"/>
    <x v="2"/>
    <n v="4446196"/>
    <n v="3211725"/>
    <x v="0"/>
  </r>
  <r>
    <s v="Data Scientist"/>
    <x v="0"/>
    <x v="0"/>
    <x v="8"/>
    <s v="B.Tech"/>
    <x v="0"/>
    <n v="878837"/>
    <n v="645543"/>
    <x v="2"/>
  </r>
  <r>
    <s v="AI/ML Engineer"/>
    <x v="2"/>
    <x v="0"/>
    <x v="0"/>
    <s v="B.Tech"/>
    <x v="3"/>
    <n v="2987531"/>
    <n v="2133127"/>
    <x v="1"/>
  </r>
  <r>
    <s v="Data Analyst"/>
    <x v="0"/>
    <x v="0"/>
    <x v="1"/>
    <s v="M.Sc"/>
    <x v="2"/>
    <n v="505189"/>
    <n v="390742"/>
    <x v="0"/>
  </r>
  <r>
    <s v="Data Analyst"/>
    <x v="1"/>
    <x v="1"/>
    <x v="1"/>
    <s v="M.Tech"/>
    <x v="3"/>
    <n v="3248727"/>
    <n v="2411196"/>
    <x v="0"/>
  </r>
  <r>
    <s v="AI/ML Engineer"/>
    <x v="0"/>
    <x v="1"/>
    <x v="6"/>
    <s v="PhD"/>
    <x v="0"/>
    <n v="1142339"/>
    <n v="848186"/>
    <x v="1"/>
  </r>
  <r>
    <s v="Data Analyst"/>
    <x v="1"/>
    <x v="0"/>
    <x v="3"/>
    <s v="MCA"/>
    <x v="3"/>
    <n v="3275568"/>
    <n v="2479404"/>
    <x v="0"/>
  </r>
  <r>
    <s v="AI Researcher"/>
    <x v="1"/>
    <x v="1"/>
    <x v="2"/>
    <s v="BCA"/>
    <x v="1"/>
    <n v="3508980"/>
    <n v="2658346"/>
    <x v="1"/>
  </r>
  <r>
    <s v="Data Analyst"/>
    <x v="1"/>
    <x v="1"/>
    <x v="2"/>
    <s v="B.Sc"/>
    <x v="1"/>
    <n v="3459175"/>
    <n v="2433406"/>
    <x v="0"/>
  </r>
  <r>
    <s v="Data Scientist"/>
    <x v="0"/>
    <x v="0"/>
    <x v="4"/>
    <s v="B.Tech"/>
    <x v="0"/>
    <n v="793483"/>
    <n v="593714"/>
    <x v="2"/>
  </r>
  <r>
    <s v="Data Scientist"/>
    <x v="1"/>
    <x v="1"/>
    <x v="3"/>
    <s v="BCA"/>
    <x v="2"/>
    <n v="5162227"/>
    <n v="4180632"/>
    <x v="2"/>
  </r>
  <r>
    <s v="Analytics Consultant"/>
    <x v="0"/>
    <x v="0"/>
    <x v="2"/>
    <s v="MCA"/>
    <x v="1"/>
    <n v="861322"/>
    <n v="628167"/>
    <x v="0"/>
  </r>
  <r>
    <s v="Data Analyst"/>
    <x v="2"/>
    <x v="1"/>
    <x v="5"/>
    <s v="B.Tech"/>
    <x v="3"/>
    <n v="1178315"/>
    <n v="842810"/>
    <x v="0"/>
  </r>
  <r>
    <s v="Analytics Consultant"/>
    <x v="2"/>
    <x v="0"/>
    <x v="4"/>
    <s v="PhD"/>
    <x v="3"/>
    <n v="1547681"/>
    <n v="1262348"/>
    <x v="0"/>
  </r>
  <r>
    <s v="AI/ML Engineer"/>
    <x v="2"/>
    <x v="1"/>
    <x v="6"/>
    <s v="M.Tech"/>
    <x v="3"/>
    <n v="2112492"/>
    <n v="1606093"/>
    <x v="1"/>
  </r>
  <r>
    <s v="Big Data Engineer"/>
    <x v="2"/>
    <x v="0"/>
    <x v="7"/>
    <s v="B.Sc"/>
    <x v="1"/>
    <n v="1252401"/>
    <n v="995896"/>
    <x v="2"/>
  </r>
  <r>
    <s v="AI Researcher"/>
    <x v="1"/>
    <x v="0"/>
    <x v="4"/>
    <s v="M.Tech"/>
    <x v="3"/>
    <n v="5297457"/>
    <n v="4094847"/>
    <x v="1"/>
  </r>
  <r>
    <s v="AI Researcher"/>
    <x v="1"/>
    <x v="0"/>
    <x v="3"/>
    <s v="B.Sc"/>
    <x v="3"/>
    <n v="6352084"/>
    <n v="5087749"/>
    <x v="1"/>
  </r>
  <r>
    <s v="AI Researcher"/>
    <x v="2"/>
    <x v="0"/>
    <x v="0"/>
    <s v="B.Tech"/>
    <x v="1"/>
    <n v="2361556"/>
    <n v="1806116"/>
    <x v="1"/>
  </r>
  <r>
    <s v="Analytics Consultant"/>
    <x v="0"/>
    <x v="0"/>
    <x v="8"/>
    <s v="PhD"/>
    <x v="1"/>
    <n v="1087922"/>
    <n v="802195"/>
    <x v="0"/>
  </r>
  <r>
    <s v="AI Researcher"/>
    <x v="0"/>
    <x v="1"/>
    <x v="4"/>
    <s v="M.Sc"/>
    <x v="3"/>
    <n v="1593060"/>
    <n v="1263982"/>
    <x v="1"/>
  </r>
  <r>
    <s v="AI/ML Engineer"/>
    <x v="1"/>
    <x v="1"/>
    <x v="3"/>
    <s v="BCA"/>
    <x v="0"/>
    <n v="4503216"/>
    <n v="3305180"/>
    <x v="1"/>
  </r>
  <r>
    <s v="AI Researcher"/>
    <x v="0"/>
    <x v="1"/>
    <x v="8"/>
    <s v="M.Sc"/>
    <x v="1"/>
    <n v="1316351"/>
    <n v="983479"/>
    <x v="1"/>
  </r>
  <r>
    <s v="Data Scientist"/>
    <x v="2"/>
    <x v="1"/>
    <x v="2"/>
    <s v="B.Sc"/>
    <x v="3"/>
    <n v="2246442"/>
    <n v="1615859"/>
    <x v="2"/>
  </r>
  <r>
    <s v="Big Data Engineer"/>
    <x v="2"/>
    <x v="1"/>
    <x v="1"/>
    <s v="M.Tech"/>
    <x v="0"/>
    <n v="2150930"/>
    <n v="1706372"/>
    <x v="2"/>
  </r>
  <r>
    <s v="Analytics Consultant"/>
    <x v="1"/>
    <x v="1"/>
    <x v="1"/>
    <s v="B.Tech"/>
    <x v="3"/>
    <n v="2893868"/>
    <n v="2350854"/>
    <x v="0"/>
  </r>
  <r>
    <s v="Analytics Consultant"/>
    <x v="0"/>
    <x v="0"/>
    <x v="8"/>
    <s v="B.Tech"/>
    <x v="0"/>
    <n v="1189304"/>
    <n v="834479"/>
    <x v="0"/>
  </r>
  <r>
    <s v="Data Analyst"/>
    <x v="0"/>
    <x v="0"/>
    <x v="1"/>
    <s v="BCA"/>
    <x v="0"/>
    <n v="783568"/>
    <n v="566390"/>
    <x v="0"/>
  </r>
  <r>
    <s v="Big Data Engineer"/>
    <x v="2"/>
    <x v="0"/>
    <x v="7"/>
    <s v="B.Tech"/>
    <x v="2"/>
    <n v="1777034"/>
    <n v="1316193"/>
    <x v="2"/>
  </r>
  <r>
    <s v="Data Scientist"/>
    <x v="1"/>
    <x v="0"/>
    <x v="8"/>
    <s v="BCA"/>
    <x v="0"/>
    <n v="5900700"/>
    <n v="4442779"/>
    <x v="2"/>
  </r>
  <r>
    <s v="Data Analyst"/>
    <x v="0"/>
    <x v="0"/>
    <x v="1"/>
    <s v="M.Tech"/>
    <x v="3"/>
    <n v="610977"/>
    <n v="437003"/>
    <x v="0"/>
  </r>
  <r>
    <s v="Big Data Engineer"/>
    <x v="1"/>
    <x v="0"/>
    <x v="1"/>
    <s v="MCA"/>
    <x v="2"/>
    <n v="3396218"/>
    <n v="2395176"/>
    <x v="2"/>
  </r>
  <r>
    <s v="AI Researcher"/>
    <x v="1"/>
    <x v="0"/>
    <x v="6"/>
    <s v="M.Sc"/>
    <x v="1"/>
    <n v="4167211"/>
    <n v="3014420"/>
    <x v="1"/>
  </r>
  <r>
    <s v="Analytics Consultant"/>
    <x v="0"/>
    <x v="0"/>
    <x v="6"/>
    <s v="PhD"/>
    <x v="0"/>
    <n v="824354"/>
    <n v="628721"/>
    <x v="0"/>
  </r>
  <r>
    <s v="AI Researcher"/>
    <x v="1"/>
    <x v="0"/>
    <x v="5"/>
    <s v="MCA"/>
    <x v="1"/>
    <n v="5094705"/>
    <n v="3825003"/>
    <x v="1"/>
  </r>
  <r>
    <s v="AI Researcher"/>
    <x v="0"/>
    <x v="0"/>
    <x v="4"/>
    <s v="M.Sc"/>
    <x v="1"/>
    <n v="1425713"/>
    <n v="1081890"/>
    <x v="1"/>
  </r>
  <r>
    <s v="Big Data Engineer"/>
    <x v="2"/>
    <x v="1"/>
    <x v="4"/>
    <s v="M.Sc"/>
    <x v="0"/>
    <n v="1365422"/>
    <n v="1109252"/>
    <x v="2"/>
  </r>
  <r>
    <s v="AI/ML Engineer"/>
    <x v="2"/>
    <x v="1"/>
    <x v="5"/>
    <s v="PhD"/>
    <x v="2"/>
    <n v="2293278"/>
    <n v="1685494"/>
    <x v="1"/>
  </r>
  <r>
    <s v="Analytics Consultant"/>
    <x v="1"/>
    <x v="1"/>
    <x v="4"/>
    <s v="B.Sc"/>
    <x v="2"/>
    <n v="4296344"/>
    <n v="3013869"/>
    <x v="0"/>
  </r>
  <r>
    <s v="Big Data Engineer"/>
    <x v="2"/>
    <x v="1"/>
    <x v="5"/>
    <s v="B.Sc"/>
    <x v="1"/>
    <n v="1247728"/>
    <n v="975163"/>
    <x v="2"/>
  </r>
  <r>
    <s v="AI/ML Engineer"/>
    <x v="0"/>
    <x v="1"/>
    <x v="3"/>
    <s v="MCA"/>
    <x v="2"/>
    <n v="1199731"/>
    <n v="862003"/>
    <x v="1"/>
  </r>
  <r>
    <s v="Big Data Engineer"/>
    <x v="0"/>
    <x v="0"/>
    <x v="5"/>
    <s v="PhD"/>
    <x v="3"/>
    <n v="707300"/>
    <n v="507353"/>
    <x v="2"/>
  </r>
  <r>
    <s v="AI Researcher"/>
    <x v="0"/>
    <x v="0"/>
    <x v="7"/>
    <s v="M.Tech"/>
    <x v="1"/>
    <n v="951928"/>
    <n v="692350"/>
    <x v="1"/>
  </r>
  <r>
    <s v="AI Researcher"/>
    <x v="0"/>
    <x v="1"/>
    <x v="5"/>
    <s v="B.Sc"/>
    <x v="2"/>
    <n v="1184094"/>
    <n v="938830"/>
    <x v="1"/>
  </r>
  <r>
    <s v="Analytics Consultant"/>
    <x v="2"/>
    <x v="1"/>
    <x v="1"/>
    <s v="M.Sc"/>
    <x v="2"/>
    <n v="1716570"/>
    <n v="1231425"/>
    <x v="0"/>
  </r>
  <r>
    <s v="Data Analyst"/>
    <x v="1"/>
    <x v="1"/>
    <x v="8"/>
    <s v="M.Sc"/>
    <x v="2"/>
    <n v="2965628"/>
    <n v="2203330"/>
    <x v="0"/>
  </r>
  <r>
    <s v="AI Researcher"/>
    <x v="1"/>
    <x v="0"/>
    <x v="2"/>
    <s v="BCA"/>
    <x v="1"/>
    <n v="4624945"/>
    <n v="3709156"/>
    <x v="1"/>
  </r>
  <r>
    <s v="Analytics Consultant"/>
    <x v="2"/>
    <x v="0"/>
    <x v="0"/>
    <s v="BCA"/>
    <x v="0"/>
    <n v="2372860"/>
    <n v="1665616"/>
    <x v="0"/>
  </r>
  <r>
    <s v="AI/ML Engineer"/>
    <x v="2"/>
    <x v="1"/>
    <x v="0"/>
    <s v="B.Sc"/>
    <x v="1"/>
    <n v="2779514"/>
    <n v="2277099"/>
    <x v="1"/>
  </r>
  <r>
    <s v="Analytics Consultant"/>
    <x v="2"/>
    <x v="0"/>
    <x v="1"/>
    <s v="MCA"/>
    <x v="1"/>
    <n v="1943863"/>
    <n v="1552072"/>
    <x v="0"/>
  </r>
  <r>
    <s v="Data Scientist"/>
    <x v="1"/>
    <x v="0"/>
    <x v="3"/>
    <s v="MCA"/>
    <x v="2"/>
    <n v="5547558"/>
    <n v="4344204"/>
    <x v="2"/>
  </r>
  <r>
    <s v="Big Data Engineer"/>
    <x v="2"/>
    <x v="1"/>
    <x v="6"/>
    <s v="BCA"/>
    <x v="0"/>
    <n v="1474350"/>
    <n v="1126812"/>
    <x v="2"/>
  </r>
  <r>
    <s v="Big Data Engineer"/>
    <x v="1"/>
    <x v="0"/>
    <x v="0"/>
    <s v="M.Tech"/>
    <x v="0"/>
    <n v="2815035"/>
    <n v="2066248"/>
    <x v="2"/>
  </r>
  <r>
    <s v="AI/ML Engineer"/>
    <x v="1"/>
    <x v="1"/>
    <x v="4"/>
    <s v="B.Tech"/>
    <x v="3"/>
    <n v="5327330"/>
    <n v="3999435"/>
    <x v="1"/>
  </r>
  <r>
    <s v="Big Data Engineer"/>
    <x v="1"/>
    <x v="0"/>
    <x v="1"/>
    <s v="BCA"/>
    <x v="1"/>
    <n v="5211849"/>
    <n v="3970994"/>
    <x v="2"/>
  </r>
  <r>
    <s v="Data Scientist"/>
    <x v="1"/>
    <x v="0"/>
    <x v="6"/>
    <s v="PhD"/>
    <x v="2"/>
    <n v="4135447"/>
    <n v="3215661"/>
    <x v="2"/>
  </r>
  <r>
    <s v="AI/ML Engineer"/>
    <x v="0"/>
    <x v="1"/>
    <x v="8"/>
    <s v="PhD"/>
    <x v="0"/>
    <n v="849265"/>
    <n v="634024"/>
    <x v="1"/>
  </r>
  <r>
    <s v="Analytics Consultant"/>
    <x v="1"/>
    <x v="0"/>
    <x v="8"/>
    <s v="B.Sc"/>
    <x v="0"/>
    <n v="4886663"/>
    <n v="3694432"/>
    <x v="0"/>
  </r>
  <r>
    <s v="Analytics Consultant"/>
    <x v="2"/>
    <x v="0"/>
    <x v="0"/>
    <s v="B.Tech"/>
    <x v="0"/>
    <n v="1219274"/>
    <n v="874661"/>
    <x v="0"/>
  </r>
  <r>
    <s v="Big Data Engineer"/>
    <x v="1"/>
    <x v="1"/>
    <x v="3"/>
    <s v="B.Tech"/>
    <x v="0"/>
    <n v="3949897"/>
    <n v="3176547"/>
    <x v="2"/>
  </r>
  <r>
    <s v="AI/ML Engineer"/>
    <x v="1"/>
    <x v="1"/>
    <x v="1"/>
    <s v="B.Tech"/>
    <x v="3"/>
    <n v="5138599"/>
    <n v="4152855"/>
    <x v="1"/>
  </r>
  <r>
    <s v="Analytics Consultant"/>
    <x v="0"/>
    <x v="0"/>
    <x v="0"/>
    <s v="PhD"/>
    <x v="3"/>
    <n v="900764"/>
    <n v="679785"/>
    <x v="0"/>
  </r>
  <r>
    <s v="Big Data Engineer"/>
    <x v="1"/>
    <x v="1"/>
    <x v="2"/>
    <s v="MCA"/>
    <x v="1"/>
    <n v="3588426"/>
    <n v="2605106"/>
    <x v="2"/>
  </r>
  <r>
    <s v="Analytics Consultant"/>
    <x v="1"/>
    <x v="1"/>
    <x v="1"/>
    <s v="B.Sc"/>
    <x v="2"/>
    <n v="3439295"/>
    <n v="2643853"/>
    <x v="0"/>
  </r>
  <r>
    <s v="AI Researcher"/>
    <x v="0"/>
    <x v="1"/>
    <x v="8"/>
    <s v="B.Sc"/>
    <x v="3"/>
    <n v="1291082"/>
    <n v="910018"/>
    <x v="1"/>
  </r>
  <r>
    <s v="AI Researcher"/>
    <x v="1"/>
    <x v="1"/>
    <x v="7"/>
    <s v="PhD"/>
    <x v="0"/>
    <n v="4180442"/>
    <n v="3095137"/>
    <x v="1"/>
  </r>
  <r>
    <s v="AI Researcher"/>
    <x v="2"/>
    <x v="1"/>
    <x v="3"/>
    <s v="M.Sc"/>
    <x v="3"/>
    <n v="2159077"/>
    <n v="1764110"/>
    <x v="1"/>
  </r>
  <r>
    <s v="Data Scientist"/>
    <x v="2"/>
    <x v="0"/>
    <x v="1"/>
    <s v="M.Sc"/>
    <x v="1"/>
    <n v="2091626"/>
    <n v="1663523"/>
    <x v="2"/>
  </r>
  <r>
    <s v="Data Scientist"/>
    <x v="0"/>
    <x v="0"/>
    <x v="5"/>
    <s v="BCA"/>
    <x v="1"/>
    <n v="688632"/>
    <n v="539653"/>
    <x v="2"/>
  </r>
  <r>
    <s v="Analytics Consultant"/>
    <x v="0"/>
    <x v="0"/>
    <x v="5"/>
    <s v="M.Tech"/>
    <x v="3"/>
    <n v="824363"/>
    <n v="665506"/>
    <x v="0"/>
  </r>
  <r>
    <s v="Big Data Engineer"/>
    <x v="1"/>
    <x v="0"/>
    <x v="8"/>
    <s v="B.Tech"/>
    <x v="0"/>
    <n v="3196433"/>
    <n v="2342710"/>
    <x v="2"/>
  </r>
  <r>
    <s v="Analytics Consultant"/>
    <x v="2"/>
    <x v="1"/>
    <x v="4"/>
    <s v="BCA"/>
    <x v="0"/>
    <n v="1229046"/>
    <n v="912709"/>
    <x v="0"/>
  </r>
  <r>
    <s v="Analytics Consultant"/>
    <x v="1"/>
    <x v="0"/>
    <x v="4"/>
    <s v="B.Tech"/>
    <x v="2"/>
    <n v="4250187"/>
    <n v="3160987"/>
    <x v="0"/>
  </r>
  <r>
    <s v="AI Researcher"/>
    <x v="1"/>
    <x v="1"/>
    <x v="1"/>
    <s v="B.Tech"/>
    <x v="1"/>
    <n v="3311413"/>
    <n v="2323240"/>
    <x v="1"/>
  </r>
  <r>
    <s v="Data Scientist"/>
    <x v="1"/>
    <x v="0"/>
    <x v="8"/>
    <s v="M.Tech"/>
    <x v="2"/>
    <n v="2751233"/>
    <n v="2220240"/>
    <x v="2"/>
  </r>
  <r>
    <s v="AI Researcher"/>
    <x v="0"/>
    <x v="1"/>
    <x v="8"/>
    <s v="B.Tech"/>
    <x v="1"/>
    <n v="1482388"/>
    <n v="1086145"/>
    <x v="1"/>
  </r>
  <r>
    <s v="Data Analyst"/>
    <x v="1"/>
    <x v="1"/>
    <x v="0"/>
    <s v="B.Sc"/>
    <x v="3"/>
    <n v="3307358"/>
    <n v="2553488"/>
    <x v="0"/>
  </r>
  <r>
    <s v="AI Researcher"/>
    <x v="2"/>
    <x v="1"/>
    <x v="4"/>
    <s v="M.Tech"/>
    <x v="3"/>
    <n v="2309372"/>
    <n v="1718585"/>
    <x v="1"/>
  </r>
  <r>
    <s v="Analytics Consultant"/>
    <x v="1"/>
    <x v="0"/>
    <x v="2"/>
    <s v="MCA"/>
    <x v="3"/>
    <n v="4164225"/>
    <n v="3137706"/>
    <x v="0"/>
  </r>
  <r>
    <s v="AI/ML Engineer"/>
    <x v="1"/>
    <x v="1"/>
    <x v="1"/>
    <s v="BCA"/>
    <x v="3"/>
    <n v="5359169"/>
    <n v="4146240"/>
    <x v="1"/>
  </r>
  <r>
    <s v="Analytics Consultant"/>
    <x v="1"/>
    <x v="1"/>
    <x v="8"/>
    <s v="B.Tech"/>
    <x v="1"/>
    <n v="2702510"/>
    <n v="2185881"/>
    <x v="0"/>
  </r>
  <r>
    <s v="Big Data Engineer"/>
    <x v="0"/>
    <x v="1"/>
    <x v="4"/>
    <s v="B.Sc"/>
    <x v="1"/>
    <n v="926400"/>
    <n v="757350"/>
    <x v="2"/>
  </r>
  <r>
    <s v="Data Analyst"/>
    <x v="1"/>
    <x v="0"/>
    <x v="8"/>
    <s v="M.Sc"/>
    <x v="0"/>
    <n v="2620917"/>
    <n v="2120357"/>
    <x v="0"/>
  </r>
  <r>
    <s v="AI Researcher"/>
    <x v="2"/>
    <x v="0"/>
    <x v="8"/>
    <s v="B.Sc"/>
    <x v="2"/>
    <n v="2596110"/>
    <n v="2056718"/>
    <x v="1"/>
  </r>
  <r>
    <s v="Data Scientist"/>
    <x v="1"/>
    <x v="0"/>
    <x v="4"/>
    <s v="BCA"/>
    <x v="1"/>
    <n v="5198748"/>
    <n v="4178364"/>
    <x v="2"/>
  </r>
  <r>
    <s v="Data Scientist"/>
    <x v="2"/>
    <x v="0"/>
    <x v="2"/>
    <s v="PhD"/>
    <x v="0"/>
    <n v="1427847"/>
    <n v="1147693"/>
    <x v="2"/>
  </r>
  <r>
    <s v="AI/ML Engineer"/>
    <x v="2"/>
    <x v="0"/>
    <x v="7"/>
    <s v="B.Tech"/>
    <x v="3"/>
    <n v="2640146"/>
    <n v="2003926"/>
    <x v="1"/>
  </r>
  <r>
    <s v="Data Analyst"/>
    <x v="1"/>
    <x v="1"/>
    <x v="5"/>
    <s v="BCA"/>
    <x v="2"/>
    <n v="3497986"/>
    <n v="2619453"/>
    <x v="0"/>
  </r>
  <r>
    <s v="Analytics Consultant"/>
    <x v="1"/>
    <x v="1"/>
    <x v="0"/>
    <s v="M.Tech"/>
    <x v="1"/>
    <n v="4061502"/>
    <n v="3114706"/>
    <x v="0"/>
  </r>
  <r>
    <s v="Data Scientist"/>
    <x v="0"/>
    <x v="0"/>
    <x v="7"/>
    <s v="MCA"/>
    <x v="3"/>
    <n v="1199336"/>
    <n v="858563"/>
    <x v="2"/>
  </r>
  <r>
    <s v="Big Data Engineer"/>
    <x v="0"/>
    <x v="1"/>
    <x v="6"/>
    <s v="M.Sc"/>
    <x v="3"/>
    <n v="661144"/>
    <n v="486658"/>
    <x v="2"/>
  </r>
  <r>
    <s v="AI Researcher"/>
    <x v="2"/>
    <x v="0"/>
    <x v="7"/>
    <s v="PhD"/>
    <x v="2"/>
    <n v="1681899"/>
    <n v="1282060"/>
    <x v="1"/>
  </r>
  <r>
    <s v="Analytics Consultant"/>
    <x v="0"/>
    <x v="1"/>
    <x v="5"/>
    <s v="BCA"/>
    <x v="1"/>
    <n v="607029"/>
    <n v="491445"/>
    <x v="0"/>
  </r>
  <r>
    <s v="Big Data Engineer"/>
    <x v="1"/>
    <x v="0"/>
    <x v="4"/>
    <s v="B.Sc"/>
    <x v="0"/>
    <n v="3306641"/>
    <n v="2631926"/>
    <x v="2"/>
  </r>
  <r>
    <s v="Data Analyst"/>
    <x v="2"/>
    <x v="0"/>
    <x v="1"/>
    <s v="M.Sc"/>
    <x v="0"/>
    <n v="1551968"/>
    <n v="1261412"/>
    <x v="0"/>
  </r>
  <r>
    <s v="AI/ML Engineer"/>
    <x v="0"/>
    <x v="0"/>
    <x v="1"/>
    <s v="M.Sc"/>
    <x v="0"/>
    <n v="687815"/>
    <n v="488946"/>
    <x v="1"/>
  </r>
  <r>
    <s v="Analytics Consultant"/>
    <x v="2"/>
    <x v="1"/>
    <x v="7"/>
    <s v="PhD"/>
    <x v="1"/>
    <n v="1404899"/>
    <n v="1110854"/>
    <x v="0"/>
  </r>
  <r>
    <s v="Big Data Engineer"/>
    <x v="0"/>
    <x v="0"/>
    <x v="0"/>
    <s v="MCA"/>
    <x v="2"/>
    <n v="631497"/>
    <n v="486279"/>
    <x v="2"/>
  </r>
  <r>
    <s v="AI Researcher"/>
    <x v="1"/>
    <x v="1"/>
    <x v="5"/>
    <s v="M.Sc"/>
    <x v="3"/>
    <n v="3657089"/>
    <n v="2871628"/>
    <x v="1"/>
  </r>
  <r>
    <s v="Big Data Engineer"/>
    <x v="2"/>
    <x v="1"/>
    <x v="5"/>
    <s v="M.Tech"/>
    <x v="0"/>
    <n v="2007421"/>
    <n v="1416820"/>
    <x v="2"/>
  </r>
  <r>
    <s v="AI/ML Engineer"/>
    <x v="1"/>
    <x v="0"/>
    <x v="5"/>
    <s v="M.Tech"/>
    <x v="3"/>
    <n v="6051349"/>
    <n v="4924724"/>
    <x v="1"/>
  </r>
  <r>
    <s v="Big Data Engineer"/>
    <x v="2"/>
    <x v="0"/>
    <x v="2"/>
    <s v="PhD"/>
    <x v="2"/>
    <n v="2111110"/>
    <n v="1697730"/>
    <x v="2"/>
  </r>
  <r>
    <s v="Analytics Consultant"/>
    <x v="1"/>
    <x v="0"/>
    <x v="6"/>
    <s v="MCA"/>
    <x v="0"/>
    <n v="3840356"/>
    <n v="2845409"/>
    <x v="0"/>
  </r>
  <r>
    <s v="Big Data Engineer"/>
    <x v="0"/>
    <x v="0"/>
    <x v="8"/>
    <s v="B.Sc"/>
    <x v="3"/>
    <n v="735924"/>
    <n v="535040"/>
    <x v="2"/>
  </r>
  <r>
    <s v="Big Data Engineer"/>
    <x v="2"/>
    <x v="0"/>
    <x v="4"/>
    <s v="M.Sc"/>
    <x v="3"/>
    <n v="1522682"/>
    <n v="1156819"/>
    <x v="2"/>
  </r>
  <r>
    <s v="Analytics Consultant"/>
    <x v="1"/>
    <x v="0"/>
    <x v="0"/>
    <s v="M.Tech"/>
    <x v="3"/>
    <n v="3151175"/>
    <n v="2307848"/>
    <x v="0"/>
  </r>
  <r>
    <s v="Data Scientist"/>
    <x v="0"/>
    <x v="1"/>
    <x v="7"/>
    <s v="B.Tech"/>
    <x v="1"/>
    <n v="1194589"/>
    <n v="940316"/>
    <x v="2"/>
  </r>
  <r>
    <s v="Analytics Consultant"/>
    <x v="2"/>
    <x v="1"/>
    <x v="3"/>
    <s v="PhD"/>
    <x v="1"/>
    <n v="1959464"/>
    <n v="1506060"/>
    <x v="0"/>
  </r>
  <r>
    <s v="Analytics Consultant"/>
    <x v="1"/>
    <x v="0"/>
    <x v="2"/>
    <s v="MCA"/>
    <x v="2"/>
    <n v="3322370"/>
    <n v="2518678"/>
    <x v="0"/>
  </r>
  <r>
    <s v="Data Analyst"/>
    <x v="0"/>
    <x v="1"/>
    <x v="1"/>
    <s v="M.Tech"/>
    <x v="2"/>
    <n v="479360"/>
    <n v="378862"/>
    <x v="0"/>
  </r>
  <r>
    <s v="AI Researcher"/>
    <x v="1"/>
    <x v="0"/>
    <x v="6"/>
    <s v="B.Sc"/>
    <x v="2"/>
    <n v="5976542"/>
    <n v="4394058"/>
    <x v="1"/>
  </r>
  <r>
    <s v="Data Scientist"/>
    <x v="0"/>
    <x v="1"/>
    <x v="1"/>
    <s v="MCA"/>
    <x v="3"/>
    <n v="720980"/>
    <n v="572024"/>
    <x v="2"/>
  </r>
  <r>
    <s v="Data Analyst"/>
    <x v="1"/>
    <x v="1"/>
    <x v="6"/>
    <s v="B.Sc"/>
    <x v="1"/>
    <n v="3416292"/>
    <n v="2669966"/>
    <x v="0"/>
  </r>
  <r>
    <s v="Big Data Engineer"/>
    <x v="1"/>
    <x v="0"/>
    <x v="7"/>
    <s v="PhD"/>
    <x v="2"/>
    <n v="3182327"/>
    <n v="2404976"/>
    <x v="2"/>
  </r>
  <r>
    <s v="AI/ML Engineer"/>
    <x v="1"/>
    <x v="0"/>
    <x v="0"/>
    <s v="M.Sc"/>
    <x v="1"/>
    <n v="3724743"/>
    <n v="2914663"/>
    <x v="1"/>
  </r>
  <r>
    <s v="Big Data Engineer"/>
    <x v="0"/>
    <x v="0"/>
    <x v="4"/>
    <s v="MCA"/>
    <x v="2"/>
    <n v="792166"/>
    <n v="602030"/>
    <x v="2"/>
  </r>
  <r>
    <s v="Analytics Consultant"/>
    <x v="1"/>
    <x v="0"/>
    <x v="8"/>
    <s v="MCA"/>
    <x v="0"/>
    <n v="4953073"/>
    <n v="3873441"/>
    <x v="0"/>
  </r>
  <r>
    <s v="Data Analyst"/>
    <x v="2"/>
    <x v="0"/>
    <x v="0"/>
    <s v="M.Sc"/>
    <x v="2"/>
    <n v="1265932"/>
    <n v="986589"/>
    <x v="0"/>
  </r>
  <r>
    <s v="Analytics Consultant"/>
    <x v="2"/>
    <x v="0"/>
    <x v="5"/>
    <s v="M.Sc"/>
    <x v="3"/>
    <n v="1906885"/>
    <n v="1466662"/>
    <x v="0"/>
  </r>
  <r>
    <s v="AI Researcher"/>
    <x v="0"/>
    <x v="1"/>
    <x v="4"/>
    <s v="M.Sc"/>
    <x v="2"/>
    <n v="1050961"/>
    <n v="770532"/>
    <x v="1"/>
  </r>
  <r>
    <s v="Big Data Engineer"/>
    <x v="0"/>
    <x v="0"/>
    <x v="1"/>
    <s v="BCA"/>
    <x v="2"/>
    <n v="851482"/>
    <n v="669882"/>
    <x v="2"/>
  </r>
  <r>
    <s v="Analytics Consultant"/>
    <x v="1"/>
    <x v="0"/>
    <x v="7"/>
    <s v="M.Tech"/>
    <x v="0"/>
    <n v="4204395"/>
    <n v="3036493"/>
    <x v="0"/>
  </r>
  <r>
    <s v="AI Researcher"/>
    <x v="0"/>
    <x v="0"/>
    <x v="0"/>
    <s v="BCA"/>
    <x v="3"/>
    <n v="960400"/>
    <n v="769340"/>
    <x v="1"/>
  </r>
  <r>
    <s v="AI Researcher"/>
    <x v="0"/>
    <x v="1"/>
    <x v="5"/>
    <s v="M.Sc"/>
    <x v="0"/>
    <n v="849622"/>
    <n v="688658"/>
    <x v="1"/>
  </r>
  <r>
    <s v="Data Analyst"/>
    <x v="1"/>
    <x v="0"/>
    <x v="3"/>
    <s v="B.Tech"/>
    <x v="0"/>
    <n v="3085653"/>
    <n v="2495024"/>
    <x v="0"/>
  </r>
  <r>
    <s v="Analytics Consultant"/>
    <x v="2"/>
    <x v="1"/>
    <x v="6"/>
    <s v="B.Sc"/>
    <x v="2"/>
    <n v="1391241"/>
    <n v="1018478"/>
    <x v="0"/>
  </r>
  <r>
    <s v="Big Data Engineer"/>
    <x v="2"/>
    <x v="1"/>
    <x v="4"/>
    <s v="B.Tech"/>
    <x v="2"/>
    <n v="1672159"/>
    <n v="1185077"/>
    <x v="2"/>
  </r>
  <r>
    <s v="AI/ML Engineer"/>
    <x v="0"/>
    <x v="1"/>
    <x v="6"/>
    <s v="M.Sc"/>
    <x v="3"/>
    <n v="1484648"/>
    <n v="1042616"/>
    <x v="1"/>
  </r>
  <r>
    <s v="Analytics Consultant"/>
    <x v="2"/>
    <x v="0"/>
    <x v="0"/>
    <s v="B.Sc"/>
    <x v="3"/>
    <n v="1392037"/>
    <n v="984754"/>
    <x v="0"/>
  </r>
  <r>
    <s v="Data Scientist"/>
    <x v="2"/>
    <x v="1"/>
    <x v="3"/>
    <s v="B.Tech"/>
    <x v="2"/>
    <n v="1801992"/>
    <n v="1434315"/>
    <x v="2"/>
  </r>
  <r>
    <s v="AI/ML Engineer"/>
    <x v="0"/>
    <x v="1"/>
    <x v="1"/>
    <s v="M.Tech"/>
    <x v="3"/>
    <n v="1197056"/>
    <n v="958167"/>
    <x v="1"/>
  </r>
  <r>
    <s v="Big Data Engineer"/>
    <x v="1"/>
    <x v="1"/>
    <x v="7"/>
    <s v="M.Tech"/>
    <x v="1"/>
    <n v="3945725"/>
    <n v="3176954"/>
    <x v="2"/>
  </r>
  <r>
    <s v="Analytics Consultant"/>
    <x v="0"/>
    <x v="0"/>
    <x v="0"/>
    <s v="M.Sc"/>
    <x v="3"/>
    <n v="753028"/>
    <n v="533798"/>
    <x v="0"/>
  </r>
  <r>
    <s v="Analytics Consultant"/>
    <x v="0"/>
    <x v="1"/>
    <x v="1"/>
    <s v="PhD"/>
    <x v="2"/>
    <n v="1110449"/>
    <n v="781940"/>
    <x v="0"/>
  </r>
  <r>
    <s v="Big Data Engineer"/>
    <x v="1"/>
    <x v="1"/>
    <x v="2"/>
    <s v="PhD"/>
    <x v="2"/>
    <n v="4614137"/>
    <n v="3471882"/>
    <x v="2"/>
  </r>
  <r>
    <s v="Data Analyst"/>
    <x v="0"/>
    <x v="1"/>
    <x v="8"/>
    <s v="B.Tech"/>
    <x v="0"/>
    <n v="785446"/>
    <n v="619328"/>
    <x v="0"/>
  </r>
  <r>
    <s v="Analytics Consultant"/>
    <x v="2"/>
    <x v="1"/>
    <x v="7"/>
    <s v="B.Sc"/>
    <x v="2"/>
    <n v="1728252"/>
    <n v="1209975"/>
    <x v="0"/>
  </r>
  <r>
    <s v="Data Analyst"/>
    <x v="0"/>
    <x v="1"/>
    <x v="4"/>
    <s v="B.Sc"/>
    <x v="0"/>
    <n v="712716"/>
    <n v="513126"/>
    <x v="0"/>
  </r>
  <r>
    <s v="AI Researcher"/>
    <x v="2"/>
    <x v="0"/>
    <x v="7"/>
    <s v="M.Tech"/>
    <x v="2"/>
    <n v="2038689"/>
    <n v="1574928"/>
    <x v="1"/>
  </r>
  <r>
    <s v="AI Researcher"/>
    <x v="0"/>
    <x v="1"/>
    <x v="6"/>
    <s v="MCA"/>
    <x v="2"/>
    <n v="1171594"/>
    <n v="951393"/>
    <x v="1"/>
  </r>
  <r>
    <s v="Data Scientist"/>
    <x v="1"/>
    <x v="0"/>
    <x v="5"/>
    <s v="B.Sc"/>
    <x v="3"/>
    <n v="4446751"/>
    <n v="3214069"/>
    <x v="2"/>
  </r>
  <r>
    <s v="Analytics Consultant"/>
    <x v="2"/>
    <x v="1"/>
    <x v="5"/>
    <s v="MCA"/>
    <x v="1"/>
    <n v="1711953"/>
    <n v="1329806"/>
    <x v="0"/>
  </r>
  <r>
    <s v="Analytics Consultant"/>
    <x v="0"/>
    <x v="1"/>
    <x v="0"/>
    <s v="B.Sc"/>
    <x v="0"/>
    <n v="950212"/>
    <n v="667533"/>
    <x v="0"/>
  </r>
  <r>
    <s v="AI/ML Engineer"/>
    <x v="1"/>
    <x v="1"/>
    <x v="0"/>
    <s v="M.Tech"/>
    <x v="2"/>
    <n v="3810391"/>
    <n v="3012023"/>
    <x v="1"/>
  </r>
  <r>
    <s v="Big Data Engineer"/>
    <x v="2"/>
    <x v="0"/>
    <x v="3"/>
    <s v="PhD"/>
    <x v="1"/>
    <n v="1353621"/>
    <n v="955457"/>
    <x v="2"/>
  </r>
  <r>
    <s v="Big Data Engineer"/>
    <x v="2"/>
    <x v="0"/>
    <x v="6"/>
    <s v="BCA"/>
    <x v="3"/>
    <n v="1824607"/>
    <n v="1483295"/>
    <x v="2"/>
  </r>
  <r>
    <s v="Data Scientist"/>
    <x v="0"/>
    <x v="0"/>
    <x v="0"/>
    <s v="M.Tech"/>
    <x v="3"/>
    <n v="675807"/>
    <n v="530516"/>
    <x v="2"/>
  </r>
  <r>
    <s v="Big Data Engineer"/>
    <x v="1"/>
    <x v="1"/>
    <x v="2"/>
    <s v="B.Tech"/>
    <x v="3"/>
    <n v="2907311"/>
    <n v="2280709"/>
    <x v="2"/>
  </r>
  <r>
    <s v="Data Analyst"/>
    <x v="0"/>
    <x v="1"/>
    <x v="2"/>
    <s v="BCA"/>
    <x v="1"/>
    <n v="467220"/>
    <n v="345221"/>
    <x v="0"/>
  </r>
  <r>
    <s v="AI/ML Engineer"/>
    <x v="2"/>
    <x v="0"/>
    <x v="7"/>
    <s v="MCA"/>
    <x v="2"/>
    <n v="2277979"/>
    <n v="1689338"/>
    <x v="1"/>
  </r>
  <r>
    <s v="Data Scientist"/>
    <x v="2"/>
    <x v="1"/>
    <x v="5"/>
    <s v="BCA"/>
    <x v="3"/>
    <n v="2189924"/>
    <n v="1735635"/>
    <x v="2"/>
  </r>
  <r>
    <s v="Data Analyst"/>
    <x v="2"/>
    <x v="0"/>
    <x v="3"/>
    <s v="B.Tech"/>
    <x v="3"/>
    <n v="1743312"/>
    <n v="1421803"/>
    <x v="0"/>
  </r>
  <r>
    <s v="AI Researcher"/>
    <x v="2"/>
    <x v="1"/>
    <x v="4"/>
    <s v="M.Tech"/>
    <x v="3"/>
    <n v="1999022"/>
    <n v="1619654"/>
    <x v="1"/>
  </r>
  <r>
    <s v="Data Analyst"/>
    <x v="0"/>
    <x v="1"/>
    <x v="1"/>
    <s v="B.Sc"/>
    <x v="3"/>
    <n v="416042"/>
    <n v="298969"/>
    <x v="0"/>
  </r>
  <r>
    <s v="Data Scientist"/>
    <x v="1"/>
    <x v="1"/>
    <x v="2"/>
    <s v="B.Sc"/>
    <x v="1"/>
    <n v="4391738"/>
    <n v="3395423"/>
    <x v="2"/>
  </r>
  <r>
    <s v="Data Analyst"/>
    <x v="2"/>
    <x v="0"/>
    <x v="6"/>
    <s v="BCA"/>
    <x v="1"/>
    <n v="1510629"/>
    <n v="1106180"/>
    <x v="0"/>
  </r>
  <r>
    <s v="Big Data Engineer"/>
    <x v="0"/>
    <x v="0"/>
    <x v="0"/>
    <s v="B.Sc"/>
    <x v="1"/>
    <n v="625016"/>
    <n v="446132"/>
    <x v="2"/>
  </r>
  <r>
    <s v="Big Data Engineer"/>
    <x v="2"/>
    <x v="1"/>
    <x v="4"/>
    <s v="MCA"/>
    <x v="3"/>
    <n v="2423068"/>
    <n v="1848673"/>
    <x v="2"/>
  </r>
  <r>
    <s v="AI/ML Engineer"/>
    <x v="1"/>
    <x v="0"/>
    <x v="3"/>
    <s v="MCA"/>
    <x v="1"/>
    <n v="6434184"/>
    <n v="4882166"/>
    <x v="1"/>
  </r>
  <r>
    <s v="Data Analyst"/>
    <x v="2"/>
    <x v="1"/>
    <x v="7"/>
    <s v="M.Sc"/>
    <x v="1"/>
    <n v="1381587"/>
    <n v="1114893"/>
    <x v="0"/>
  </r>
  <r>
    <s v="AI/ML Engineer"/>
    <x v="2"/>
    <x v="0"/>
    <x v="4"/>
    <s v="M.Sc"/>
    <x v="2"/>
    <n v="2211818"/>
    <n v="1680117"/>
    <x v="1"/>
  </r>
  <r>
    <s v="AI/ML Engineer"/>
    <x v="2"/>
    <x v="1"/>
    <x v="7"/>
    <s v="M.Sc"/>
    <x v="1"/>
    <n v="2709385"/>
    <n v="2179756"/>
    <x v="1"/>
  </r>
  <r>
    <s v="AI Researcher"/>
    <x v="1"/>
    <x v="1"/>
    <x v="2"/>
    <s v="M.Tech"/>
    <x v="3"/>
    <n v="4316354"/>
    <n v="3082475"/>
    <x v="1"/>
  </r>
  <r>
    <s v="Data Scientist"/>
    <x v="0"/>
    <x v="1"/>
    <x v="0"/>
    <s v="PhD"/>
    <x v="2"/>
    <n v="1125980"/>
    <n v="861705"/>
    <x v="2"/>
  </r>
  <r>
    <s v="AI/ML Engineer"/>
    <x v="2"/>
    <x v="1"/>
    <x v="4"/>
    <s v="M.Tech"/>
    <x v="3"/>
    <n v="2012179"/>
    <n v="1556977"/>
    <x v="1"/>
  </r>
  <r>
    <s v="AI Researcher"/>
    <x v="0"/>
    <x v="1"/>
    <x v="5"/>
    <s v="B.Sc"/>
    <x v="0"/>
    <n v="835158"/>
    <n v="636278"/>
    <x v="1"/>
  </r>
  <r>
    <s v="Analytics Consultant"/>
    <x v="2"/>
    <x v="0"/>
    <x v="4"/>
    <s v="M.Tech"/>
    <x v="1"/>
    <n v="2412362"/>
    <n v="1879686"/>
    <x v="0"/>
  </r>
  <r>
    <s v="AI/ML Engineer"/>
    <x v="0"/>
    <x v="0"/>
    <x v="7"/>
    <s v="BCA"/>
    <x v="2"/>
    <n v="984462"/>
    <n v="756285"/>
    <x v="1"/>
  </r>
  <r>
    <s v="AI Researcher"/>
    <x v="1"/>
    <x v="1"/>
    <x v="3"/>
    <s v="BCA"/>
    <x v="1"/>
    <n v="4420743"/>
    <n v="3571643"/>
    <x v="1"/>
  </r>
  <r>
    <s v="Big Data Engineer"/>
    <x v="1"/>
    <x v="1"/>
    <x v="3"/>
    <s v="PhD"/>
    <x v="2"/>
    <n v="3954071"/>
    <n v="3052948"/>
    <x v="2"/>
  </r>
  <r>
    <s v="Big Data Engineer"/>
    <x v="2"/>
    <x v="1"/>
    <x v="2"/>
    <s v="M.Sc"/>
    <x v="1"/>
    <n v="2190219"/>
    <n v="1746873"/>
    <x v="2"/>
  </r>
  <r>
    <s v="Data Analyst"/>
    <x v="2"/>
    <x v="0"/>
    <x v="7"/>
    <s v="BCA"/>
    <x v="3"/>
    <n v="1202808"/>
    <n v="880922"/>
    <x v="0"/>
  </r>
  <r>
    <s v="Data Analyst"/>
    <x v="0"/>
    <x v="0"/>
    <x v="2"/>
    <s v="MCA"/>
    <x v="1"/>
    <n v="596697"/>
    <n v="442174"/>
    <x v="0"/>
  </r>
  <r>
    <s v="Data Scientist"/>
    <x v="0"/>
    <x v="1"/>
    <x v="5"/>
    <s v="M.Tech"/>
    <x v="2"/>
    <n v="961484"/>
    <n v="785197"/>
    <x v="2"/>
  </r>
  <r>
    <s v="AI/ML Engineer"/>
    <x v="2"/>
    <x v="0"/>
    <x v="5"/>
    <s v="B.Tech"/>
    <x v="3"/>
    <n v="1981058"/>
    <n v="1576469"/>
    <x v="1"/>
  </r>
  <r>
    <s v="AI Researcher"/>
    <x v="1"/>
    <x v="1"/>
    <x v="1"/>
    <s v="B.Sc"/>
    <x v="1"/>
    <n v="5481005"/>
    <n v="4489796"/>
    <x v="1"/>
  </r>
  <r>
    <s v="Analytics Consultant"/>
    <x v="1"/>
    <x v="1"/>
    <x v="6"/>
    <s v="MCA"/>
    <x v="2"/>
    <n v="3773074"/>
    <n v="2821047"/>
    <x v="0"/>
  </r>
  <r>
    <s v="Big Data Engineer"/>
    <x v="0"/>
    <x v="0"/>
    <x v="2"/>
    <s v="B.Sc"/>
    <x v="2"/>
    <n v="610202"/>
    <n v="472174"/>
    <x v="2"/>
  </r>
  <r>
    <s v="AI/ML Engineer"/>
    <x v="1"/>
    <x v="0"/>
    <x v="1"/>
    <s v="BCA"/>
    <x v="3"/>
    <n v="6858486"/>
    <n v="5052178"/>
    <x v="1"/>
  </r>
  <r>
    <s v="AI/ML Engineer"/>
    <x v="2"/>
    <x v="0"/>
    <x v="8"/>
    <s v="PhD"/>
    <x v="1"/>
    <n v="2716094"/>
    <n v="2029891"/>
    <x v="1"/>
  </r>
  <r>
    <s v="Data Scientist"/>
    <x v="2"/>
    <x v="0"/>
    <x v="1"/>
    <s v="PhD"/>
    <x v="1"/>
    <n v="2166003"/>
    <n v="1685957"/>
    <x v="2"/>
  </r>
  <r>
    <s v="Data Scientist"/>
    <x v="1"/>
    <x v="0"/>
    <x v="6"/>
    <s v="M.Sc"/>
    <x v="3"/>
    <n v="3117027"/>
    <n v="2507923"/>
    <x v="2"/>
  </r>
  <r>
    <s v="Big Data Engineer"/>
    <x v="2"/>
    <x v="0"/>
    <x v="3"/>
    <s v="MCA"/>
    <x v="1"/>
    <n v="1923428"/>
    <n v="1396215"/>
    <x v="2"/>
  </r>
  <r>
    <s v="Data Scientist"/>
    <x v="1"/>
    <x v="1"/>
    <x v="4"/>
    <s v="M.Sc"/>
    <x v="3"/>
    <n v="5959356"/>
    <n v="4557004"/>
    <x v="2"/>
  </r>
  <r>
    <s v="Analytics Consultant"/>
    <x v="1"/>
    <x v="0"/>
    <x v="2"/>
    <s v="MCA"/>
    <x v="1"/>
    <n v="3594356"/>
    <n v="2541587"/>
    <x v="0"/>
  </r>
  <r>
    <s v="Data Scientist"/>
    <x v="2"/>
    <x v="0"/>
    <x v="2"/>
    <s v="PhD"/>
    <x v="3"/>
    <n v="1763614"/>
    <n v="1248993"/>
    <x v="2"/>
  </r>
  <r>
    <s v="Data Scientist"/>
    <x v="1"/>
    <x v="1"/>
    <x v="6"/>
    <s v="M.Sc"/>
    <x v="2"/>
    <n v="4642824"/>
    <n v="3255402"/>
    <x v="2"/>
  </r>
  <r>
    <s v="AI Researcher"/>
    <x v="2"/>
    <x v="0"/>
    <x v="3"/>
    <s v="M.Sc"/>
    <x v="3"/>
    <n v="2912739"/>
    <n v="2075023"/>
    <x v="1"/>
  </r>
  <r>
    <s v="Big Data Engineer"/>
    <x v="1"/>
    <x v="1"/>
    <x v="0"/>
    <s v="B.Tech"/>
    <x v="3"/>
    <n v="5391283"/>
    <n v="4084257"/>
    <x v="2"/>
  </r>
  <r>
    <s v="Analytics Consultant"/>
    <x v="0"/>
    <x v="1"/>
    <x v="2"/>
    <s v="B.Sc"/>
    <x v="3"/>
    <n v="591402"/>
    <n v="466357"/>
    <x v="0"/>
  </r>
  <r>
    <s v="Data Analyst"/>
    <x v="1"/>
    <x v="1"/>
    <x v="6"/>
    <s v="MCA"/>
    <x v="2"/>
    <n v="1807392"/>
    <n v="1451850"/>
    <x v="0"/>
  </r>
  <r>
    <s v="Data Scientist"/>
    <x v="2"/>
    <x v="0"/>
    <x v="2"/>
    <s v="MCA"/>
    <x v="3"/>
    <n v="1987504"/>
    <n v="1517245"/>
    <x v="2"/>
  </r>
  <r>
    <s v="Analytics Consultant"/>
    <x v="1"/>
    <x v="0"/>
    <x v="3"/>
    <s v="PhD"/>
    <x v="1"/>
    <n v="4631932"/>
    <n v="3775918"/>
    <x v="0"/>
  </r>
  <r>
    <s v="Data Scientist"/>
    <x v="0"/>
    <x v="0"/>
    <x v="5"/>
    <s v="BCA"/>
    <x v="2"/>
    <n v="651418"/>
    <n v="491878"/>
    <x v="2"/>
  </r>
  <r>
    <s v="AI Researcher"/>
    <x v="1"/>
    <x v="0"/>
    <x v="5"/>
    <s v="B.Tech"/>
    <x v="2"/>
    <n v="3740251"/>
    <n v="2646739"/>
    <x v="1"/>
  </r>
  <r>
    <s v="Data Scientist"/>
    <x v="2"/>
    <x v="0"/>
    <x v="6"/>
    <s v="M.Tech"/>
    <x v="0"/>
    <n v="1379708"/>
    <n v="1097468"/>
    <x v="2"/>
  </r>
  <r>
    <s v="AI/ML Engineer"/>
    <x v="1"/>
    <x v="0"/>
    <x v="0"/>
    <s v="B.Tech"/>
    <x v="1"/>
    <n v="3307470"/>
    <n v="2617474"/>
    <x v="1"/>
  </r>
  <r>
    <s v="Big Data Engineer"/>
    <x v="1"/>
    <x v="1"/>
    <x v="7"/>
    <s v="BCA"/>
    <x v="0"/>
    <n v="3118274"/>
    <n v="2497611"/>
    <x v="2"/>
  </r>
  <r>
    <s v="AI/ML Engineer"/>
    <x v="1"/>
    <x v="0"/>
    <x v="3"/>
    <s v="BCA"/>
    <x v="1"/>
    <n v="4691125"/>
    <n v="3610720"/>
    <x v="1"/>
  </r>
  <r>
    <s v="Data Scientist"/>
    <x v="0"/>
    <x v="1"/>
    <x v="5"/>
    <s v="M.Tech"/>
    <x v="3"/>
    <n v="1048392"/>
    <n v="752389"/>
    <x v="2"/>
  </r>
  <r>
    <s v="Big Data Engineer"/>
    <x v="0"/>
    <x v="1"/>
    <x v="1"/>
    <s v="BCA"/>
    <x v="1"/>
    <n v="978329"/>
    <n v="768201"/>
    <x v="2"/>
  </r>
  <r>
    <s v="AI/ML Engineer"/>
    <x v="1"/>
    <x v="1"/>
    <x v="1"/>
    <s v="M.Sc"/>
    <x v="1"/>
    <n v="6789738"/>
    <n v="5053024"/>
    <x v="1"/>
  </r>
  <r>
    <s v="Analytics Consultant"/>
    <x v="1"/>
    <x v="1"/>
    <x v="0"/>
    <s v="PhD"/>
    <x v="3"/>
    <n v="4835241"/>
    <n v="381843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Data Analyst"/>
    <x v="0"/>
    <x v="0"/>
    <x v="0"/>
    <x v="0"/>
    <x v="0"/>
    <n v="541335"/>
    <n v="395337"/>
    <x v="0"/>
    <n v="32944.75"/>
  </r>
  <r>
    <s v="AI Researcher"/>
    <x v="1"/>
    <x v="1"/>
    <x v="0"/>
    <x v="1"/>
    <x v="0"/>
    <n v="6589066"/>
    <n v="4896030"/>
    <x v="1"/>
    <n v="408002.5"/>
  </r>
  <r>
    <s v="Data Scientist"/>
    <x v="2"/>
    <x v="0"/>
    <x v="1"/>
    <x v="2"/>
    <x v="1"/>
    <n v="1557179"/>
    <n v="1254251"/>
    <x v="2"/>
    <n v="104520.91666666667"/>
  </r>
  <r>
    <s v="Data Scientist"/>
    <x v="2"/>
    <x v="1"/>
    <x v="2"/>
    <x v="2"/>
    <x v="1"/>
    <n v="2031870"/>
    <n v="1658608"/>
    <x v="2"/>
    <n v="138217.33333333334"/>
  </r>
  <r>
    <s v="Big Data Engineer"/>
    <x v="2"/>
    <x v="0"/>
    <x v="2"/>
    <x v="3"/>
    <x v="2"/>
    <n v="2295316"/>
    <n v="1723387"/>
    <x v="2"/>
    <n v="143615.58333333334"/>
  </r>
  <r>
    <s v="Analytics Consultant"/>
    <x v="2"/>
    <x v="1"/>
    <x v="3"/>
    <x v="2"/>
    <x v="0"/>
    <n v="2349141"/>
    <n v="1925185"/>
    <x v="0"/>
    <n v="160432.08333333334"/>
  </r>
  <r>
    <s v="Big Data Engineer"/>
    <x v="0"/>
    <x v="1"/>
    <x v="2"/>
    <x v="1"/>
    <x v="2"/>
    <n v="1048792"/>
    <n v="739298"/>
    <x v="2"/>
    <n v="61608.166666666664"/>
  </r>
  <r>
    <s v="Data Analyst"/>
    <x v="1"/>
    <x v="0"/>
    <x v="4"/>
    <x v="4"/>
    <x v="0"/>
    <n v="1927394"/>
    <n v="1502236"/>
    <x v="0"/>
    <n v="125186.33333333333"/>
  </r>
  <r>
    <s v="Data Analyst"/>
    <x v="0"/>
    <x v="0"/>
    <x v="4"/>
    <x v="5"/>
    <x v="0"/>
    <n v="782641"/>
    <n v="549575"/>
    <x v="0"/>
    <n v="45797.916666666664"/>
  </r>
  <r>
    <s v="AI/ML Engineer"/>
    <x v="1"/>
    <x v="1"/>
    <x v="1"/>
    <x v="6"/>
    <x v="3"/>
    <n v="5176803"/>
    <n v="4062955"/>
    <x v="1"/>
    <n v="338579.58333333331"/>
  </r>
  <r>
    <s v="Big Data Engineer"/>
    <x v="1"/>
    <x v="0"/>
    <x v="5"/>
    <x v="6"/>
    <x v="3"/>
    <n v="3043155"/>
    <n v="2469327"/>
    <x v="2"/>
    <n v="205777.25"/>
  </r>
  <r>
    <s v="Data Scientist"/>
    <x v="0"/>
    <x v="0"/>
    <x v="6"/>
    <x v="0"/>
    <x v="1"/>
    <n v="913039"/>
    <n v="705708"/>
    <x v="2"/>
    <n v="58809"/>
  </r>
  <r>
    <s v="AI Researcher"/>
    <x v="0"/>
    <x v="1"/>
    <x v="0"/>
    <x v="0"/>
    <x v="2"/>
    <n v="1149073"/>
    <n v="825363"/>
    <x v="1"/>
    <n v="68780.25"/>
  </r>
  <r>
    <s v="Big Data Engineer"/>
    <x v="0"/>
    <x v="1"/>
    <x v="7"/>
    <x v="5"/>
    <x v="0"/>
    <n v="1199520"/>
    <n v="889105"/>
    <x v="2"/>
    <n v="74092.083333333328"/>
  </r>
  <r>
    <s v="Data Scientist"/>
    <x v="1"/>
    <x v="0"/>
    <x v="2"/>
    <x v="5"/>
    <x v="2"/>
    <n v="3038758"/>
    <n v="2423664"/>
    <x v="2"/>
    <n v="201972"/>
  </r>
  <r>
    <s v="Data Scientist"/>
    <x v="1"/>
    <x v="0"/>
    <x v="2"/>
    <x v="2"/>
    <x v="2"/>
    <n v="4732422"/>
    <n v="3762954"/>
    <x v="2"/>
    <n v="313579.5"/>
  </r>
  <r>
    <s v="Data Scientist"/>
    <x v="1"/>
    <x v="1"/>
    <x v="5"/>
    <x v="0"/>
    <x v="0"/>
    <n v="4417372"/>
    <n v="3561103"/>
    <x v="2"/>
    <n v="296758.58333333331"/>
  </r>
  <r>
    <s v="Analytics Consultant"/>
    <x v="2"/>
    <x v="0"/>
    <x v="4"/>
    <x v="0"/>
    <x v="2"/>
    <n v="1646385"/>
    <n v="1337286"/>
    <x v="0"/>
    <n v="111440.5"/>
  </r>
  <r>
    <s v="AI Researcher"/>
    <x v="2"/>
    <x v="0"/>
    <x v="8"/>
    <x v="4"/>
    <x v="2"/>
    <n v="1870897"/>
    <n v="1497880"/>
    <x v="1"/>
    <n v="124823.33333333333"/>
  </r>
  <r>
    <s v="Data Analyst"/>
    <x v="1"/>
    <x v="1"/>
    <x v="1"/>
    <x v="3"/>
    <x v="3"/>
    <n v="2823610"/>
    <n v="2192937"/>
    <x v="0"/>
    <n v="182744.75"/>
  </r>
  <r>
    <s v="Big Data Engineer"/>
    <x v="2"/>
    <x v="0"/>
    <x v="5"/>
    <x v="2"/>
    <x v="1"/>
    <n v="1822472"/>
    <n v="1447302"/>
    <x v="2"/>
    <n v="120608.5"/>
  </r>
  <r>
    <s v="Big Data Engineer"/>
    <x v="1"/>
    <x v="0"/>
    <x v="8"/>
    <x v="2"/>
    <x v="0"/>
    <n v="4597218"/>
    <n v="3346087"/>
    <x v="2"/>
    <n v="278840.58333333331"/>
  </r>
  <r>
    <s v="Analytics Consultant"/>
    <x v="0"/>
    <x v="1"/>
    <x v="1"/>
    <x v="4"/>
    <x v="2"/>
    <n v="701146"/>
    <n v="551232"/>
    <x v="0"/>
    <n v="45936"/>
  </r>
  <r>
    <s v="Analytics Consultant"/>
    <x v="0"/>
    <x v="1"/>
    <x v="7"/>
    <x v="1"/>
    <x v="2"/>
    <n v="792033"/>
    <n v="623704"/>
    <x v="0"/>
    <n v="51975.333333333336"/>
  </r>
  <r>
    <s v="AI/ML Engineer"/>
    <x v="1"/>
    <x v="0"/>
    <x v="4"/>
    <x v="1"/>
    <x v="3"/>
    <n v="4938490"/>
    <n v="3927284"/>
    <x v="1"/>
    <n v="327273.66666666669"/>
  </r>
  <r>
    <s v="Analytics Consultant"/>
    <x v="2"/>
    <x v="0"/>
    <x v="0"/>
    <x v="1"/>
    <x v="2"/>
    <n v="1788480"/>
    <n v="1353966"/>
    <x v="0"/>
    <n v="112830.5"/>
  </r>
  <r>
    <s v="Big Data Engineer"/>
    <x v="2"/>
    <x v="1"/>
    <x v="4"/>
    <x v="2"/>
    <x v="0"/>
    <n v="2021805"/>
    <n v="1615172"/>
    <x v="2"/>
    <n v="134597.66666666666"/>
  </r>
  <r>
    <s v="Data Scientist"/>
    <x v="0"/>
    <x v="0"/>
    <x v="7"/>
    <x v="4"/>
    <x v="0"/>
    <n v="964572"/>
    <n v="744553"/>
    <x v="2"/>
    <n v="62046.083333333336"/>
  </r>
  <r>
    <s v="AI Researcher"/>
    <x v="1"/>
    <x v="0"/>
    <x v="6"/>
    <x v="6"/>
    <x v="3"/>
    <n v="4670776"/>
    <n v="3565138"/>
    <x v="1"/>
    <n v="297094.83333333331"/>
  </r>
  <r>
    <s v="Analytics Consultant"/>
    <x v="0"/>
    <x v="1"/>
    <x v="8"/>
    <x v="6"/>
    <x v="3"/>
    <n v="522076"/>
    <n v="396454"/>
    <x v="0"/>
    <n v="33037.833333333336"/>
  </r>
  <r>
    <s v="Data Analyst"/>
    <x v="1"/>
    <x v="1"/>
    <x v="8"/>
    <x v="6"/>
    <x v="1"/>
    <n v="1877762"/>
    <n v="1329072"/>
    <x v="0"/>
    <n v="110756"/>
  </r>
  <r>
    <s v="Data Scientist"/>
    <x v="1"/>
    <x v="1"/>
    <x v="2"/>
    <x v="5"/>
    <x v="1"/>
    <n v="2586200"/>
    <n v="2076008"/>
    <x v="2"/>
    <n v="173000.66666666666"/>
  </r>
  <r>
    <s v="Data Analyst"/>
    <x v="1"/>
    <x v="0"/>
    <x v="3"/>
    <x v="0"/>
    <x v="0"/>
    <n v="3371027"/>
    <n v="2422438"/>
    <x v="0"/>
    <n v="201869.83333333334"/>
  </r>
  <r>
    <s v="Big Data Engineer"/>
    <x v="1"/>
    <x v="1"/>
    <x v="6"/>
    <x v="1"/>
    <x v="3"/>
    <n v="4595401"/>
    <n v="3526494"/>
    <x v="2"/>
    <n v="293874.5"/>
  </r>
  <r>
    <s v="Analytics Consultant"/>
    <x v="1"/>
    <x v="1"/>
    <x v="0"/>
    <x v="6"/>
    <x v="1"/>
    <n v="3699077"/>
    <n v="2972021"/>
    <x v="0"/>
    <n v="247668.41666666666"/>
  </r>
  <r>
    <s v="Data Analyst"/>
    <x v="2"/>
    <x v="0"/>
    <x v="3"/>
    <x v="1"/>
    <x v="3"/>
    <n v="811254"/>
    <n v="613076"/>
    <x v="0"/>
    <n v="51089.666666666664"/>
  </r>
  <r>
    <s v="AI Researcher"/>
    <x v="0"/>
    <x v="0"/>
    <x v="0"/>
    <x v="3"/>
    <x v="0"/>
    <n v="797423"/>
    <n v="560636"/>
    <x v="1"/>
    <n v="46719.666666666664"/>
  </r>
  <r>
    <s v="Data Scientist"/>
    <x v="2"/>
    <x v="0"/>
    <x v="1"/>
    <x v="1"/>
    <x v="0"/>
    <n v="1368029"/>
    <n v="992691"/>
    <x v="2"/>
    <n v="82724.25"/>
  </r>
  <r>
    <s v="AI Researcher"/>
    <x v="1"/>
    <x v="0"/>
    <x v="8"/>
    <x v="1"/>
    <x v="0"/>
    <n v="3953040"/>
    <n v="2879740"/>
    <x v="1"/>
    <n v="239978.33333333334"/>
  </r>
  <r>
    <s v="Analytics Consultant"/>
    <x v="1"/>
    <x v="0"/>
    <x v="5"/>
    <x v="0"/>
    <x v="3"/>
    <n v="3998719"/>
    <n v="3243852"/>
    <x v="0"/>
    <n v="270321"/>
  </r>
  <r>
    <s v="AI/ML Engineer"/>
    <x v="2"/>
    <x v="1"/>
    <x v="2"/>
    <x v="3"/>
    <x v="0"/>
    <n v="2567318"/>
    <n v="1951332"/>
    <x v="1"/>
    <n v="162611"/>
  </r>
  <r>
    <s v="Data Scientist"/>
    <x v="1"/>
    <x v="0"/>
    <x v="6"/>
    <x v="5"/>
    <x v="0"/>
    <n v="2670661"/>
    <n v="2046314"/>
    <x v="2"/>
    <n v="170526.16666666666"/>
  </r>
  <r>
    <s v="AI/ML Engineer"/>
    <x v="0"/>
    <x v="1"/>
    <x v="5"/>
    <x v="4"/>
    <x v="0"/>
    <n v="1157398"/>
    <n v="879815"/>
    <x v="1"/>
    <n v="73317.916666666672"/>
  </r>
  <r>
    <s v="Data Analyst"/>
    <x v="0"/>
    <x v="0"/>
    <x v="4"/>
    <x v="6"/>
    <x v="1"/>
    <n v="554183"/>
    <n v="442341"/>
    <x v="0"/>
    <n v="36861.75"/>
  </r>
  <r>
    <s v="Data Analyst"/>
    <x v="2"/>
    <x v="1"/>
    <x v="0"/>
    <x v="4"/>
    <x v="0"/>
    <n v="801616"/>
    <n v="607449"/>
    <x v="0"/>
    <n v="50620.75"/>
  </r>
  <r>
    <s v="Analytics Consultant"/>
    <x v="2"/>
    <x v="0"/>
    <x v="5"/>
    <x v="1"/>
    <x v="0"/>
    <n v="1436701"/>
    <n v="1153409"/>
    <x v="0"/>
    <n v="96117.416666666672"/>
  </r>
  <r>
    <s v="Big Data Engineer"/>
    <x v="1"/>
    <x v="1"/>
    <x v="0"/>
    <x v="0"/>
    <x v="1"/>
    <n v="4831609"/>
    <n v="3642915"/>
    <x v="2"/>
    <n v="303576.25"/>
  </r>
  <r>
    <s v="AI/ML Engineer"/>
    <x v="1"/>
    <x v="1"/>
    <x v="1"/>
    <x v="0"/>
    <x v="0"/>
    <n v="6736461"/>
    <n v="4860164"/>
    <x v="1"/>
    <n v="405013.66666666669"/>
  </r>
  <r>
    <s v="Analytics Consultant"/>
    <x v="0"/>
    <x v="0"/>
    <x v="4"/>
    <x v="1"/>
    <x v="3"/>
    <n v="1051653"/>
    <n v="854043"/>
    <x v="0"/>
    <n v="71170.25"/>
  </r>
  <r>
    <s v="Data Scientist"/>
    <x v="0"/>
    <x v="0"/>
    <x v="1"/>
    <x v="2"/>
    <x v="1"/>
    <n v="413916"/>
    <n v="292660"/>
    <x v="2"/>
    <n v="24388.333333333332"/>
  </r>
  <r>
    <s v="Data Analyst"/>
    <x v="0"/>
    <x v="0"/>
    <x v="6"/>
    <x v="2"/>
    <x v="1"/>
    <n v="427242"/>
    <n v="337065"/>
    <x v="0"/>
    <n v="28088.75"/>
  </r>
  <r>
    <s v="Data Scientist"/>
    <x v="0"/>
    <x v="0"/>
    <x v="0"/>
    <x v="0"/>
    <x v="2"/>
    <n v="816294"/>
    <n v="639617"/>
    <x v="2"/>
    <n v="53301.416666666664"/>
  </r>
  <r>
    <s v="Analytics Consultant"/>
    <x v="0"/>
    <x v="0"/>
    <x v="5"/>
    <x v="1"/>
    <x v="2"/>
    <n v="1190382"/>
    <n v="879147"/>
    <x v="0"/>
    <n v="73262.25"/>
  </r>
  <r>
    <s v="AI/ML Engineer"/>
    <x v="0"/>
    <x v="0"/>
    <x v="7"/>
    <x v="3"/>
    <x v="2"/>
    <n v="1190802"/>
    <n v="845821"/>
    <x v="1"/>
    <n v="70485.083333333328"/>
  </r>
  <r>
    <s v="AI Researcher"/>
    <x v="1"/>
    <x v="1"/>
    <x v="5"/>
    <x v="2"/>
    <x v="2"/>
    <n v="6322725"/>
    <n v="4801628"/>
    <x v="1"/>
    <n v="400135.66666666669"/>
  </r>
  <r>
    <s v="Data Analyst"/>
    <x v="0"/>
    <x v="0"/>
    <x v="7"/>
    <x v="1"/>
    <x v="1"/>
    <n v="456968"/>
    <n v="331551"/>
    <x v="0"/>
    <n v="27629.25"/>
  </r>
  <r>
    <s v="Big Data Engineer"/>
    <x v="0"/>
    <x v="0"/>
    <x v="8"/>
    <x v="4"/>
    <x v="3"/>
    <n v="1170516"/>
    <n v="923411"/>
    <x v="2"/>
    <n v="76950.916666666672"/>
  </r>
  <r>
    <s v="Data Analyst"/>
    <x v="0"/>
    <x v="0"/>
    <x v="7"/>
    <x v="5"/>
    <x v="2"/>
    <n v="773624"/>
    <n v="591845"/>
    <x v="0"/>
    <n v="49320.416666666664"/>
  </r>
  <r>
    <s v="Analytics Consultant"/>
    <x v="1"/>
    <x v="1"/>
    <x v="0"/>
    <x v="2"/>
    <x v="2"/>
    <n v="4632360"/>
    <n v="3572118"/>
    <x v="0"/>
    <n v="297676.5"/>
  </r>
  <r>
    <s v="Analytics Consultant"/>
    <x v="0"/>
    <x v="0"/>
    <x v="0"/>
    <x v="0"/>
    <x v="3"/>
    <n v="1084124"/>
    <n v="784891"/>
    <x v="0"/>
    <n v="65407.583333333336"/>
  </r>
  <r>
    <s v="Analytics Consultant"/>
    <x v="2"/>
    <x v="0"/>
    <x v="7"/>
    <x v="5"/>
    <x v="1"/>
    <n v="1299966"/>
    <n v="947062"/>
    <x v="0"/>
    <n v="78921.833333333328"/>
  </r>
  <r>
    <s v="AI/ML Engineer"/>
    <x v="2"/>
    <x v="1"/>
    <x v="2"/>
    <x v="6"/>
    <x v="2"/>
    <n v="2058161"/>
    <n v="1599733"/>
    <x v="1"/>
    <n v="133311.08333333334"/>
  </r>
  <r>
    <s v="Big Data Engineer"/>
    <x v="1"/>
    <x v="0"/>
    <x v="2"/>
    <x v="3"/>
    <x v="3"/>
    <n v="5401533"/>
    <n v="3813137"/>
    <x v="2"/>
    <n v="317761.41666666669"/>
  </r>
  <r>
    <s v="Data Analyst"/>
    <x v="1"/>
    <x v="0"/>
    <x v="2"/>
    <x v="5"/>
    <x v="3"/>
    <n v="2532927"/>
    <n v="2054019"/>
    <x v="0"/>
    <n v="171168.25"/>
  </r>
  <r>
    <s v="Analytics Consultant"/>
    <x v="1"/>
    <x v="1"/>
    <x v="6"/>
    <x v="1"/>
    <x v="2"/>
    <n v="3702144"/>
    <n v="2865533"/>
    <x v="0"/>
    <n v="238794.41666666666"/>
  </r>
  <r>
    <s v="Data Analyst"/>
    <x v="2"/>
    <x v="1"/>
    <x v="4"/>
    <x v="2"/>
    <x v="1"/>
    <n v="1094198"/>
    <n v="768793"/>
    <x v="0"/>
    <n v="64066.083333333336"/>
  </r>
  <r>
    <s v="Data Scientist"/>
    <x v="1"/>
    <x v="1"/>
    <x v="6"/>
    <x v="5"/>
    <x v="0"/>
    <n v="3819466"/>
    <n v="3063417"/>
    <x v="2"/>
    <n v="255284.75"/>
  </r>
  <r>
    <s v="AI/ML Engineer"/>
    <x v="1"/>
    <x v="0"/>
    <x v="2"/>
    <x v="2"/>
    <x v="0"/>
    <n v="5101608"/>
    <n v="3736514"/>
    <x v="1"/>
    <n v="311376.16666666669"/>
  </r>
  <r>
    <s v="Data Scientist"/>
    <x v="1"/>
    <x v="0"/>
    <x v="1"/>
    <x v="6"/>
    <x v="0"/>
    <n v="2973633"/>
    <n v="2095864"/>
    <x v="2"/>
    <n v="174655.33333333334"/>
  </r>
  <r>
    <s v="AI/ML Engineer"/>
    <x v="0"/>
    <x v="1"/>
    <x v="2"/>
    <x v="1"/>
    <x v="1"/>
    <n v="1045221"/>
    <n v="809266"/>
    <x v="1"/>
    <n v="67438.833333333328"/>
  </r>
  <r>
    <s v="AI Researcher"/>
    <x v="0"/>
    <x v="1"/>
    <x v="0"/>
    <x v="3"/>
    <x v="1"/>
    <n v="932361"/>
    <n v="743765"/>
    <x v="1"/>
    <n v="61980.416666666664"/>
  </r>
  <r>
    <s v="Big Data Engineer"/>
    <x v="1"/>
    <x v="1"/>
    <x v="6"/>
    <x v="4"/>
    <x v="0"/>
    <n v="5232651"/>
    <n v="3796876"/>
    <x v="2"/>
    <n v="316406.33333333331"/>
  </r>
  <r>
    <s v="Data Analyst"/>
    <x v="1"/>
    <x v="0"/>
    <x v="0"/>
    <x v="3"/>
    <x v="0"/>
    <n v="2933896"/>
    <n v="2275548"/>
    <x v="0"/>
    <n v="189629"/>
  </r>
  <r>
    <s v="AI Researcher"/>
    <x v="2"/>
    <x v="0"/>
    <x v="8"/>
    <x v="6"/>
    <x v="1"/>
    <n v="2106536"/>
    <n v="1616817"/>
    <x v="1"/>
    <n v="134734.75"/>
  </r>
  <r>
    <s v="AI/ML Engineer"/>
    <x v="2"/>
    <x v="1"/>
    <x v="5"/>
    <x v="2"/>
    <x v="1"/>
    <n v="1656023"/>
    <n v="1212056"/>
    <x v="1"/>
    <n v="101004.66666666667"/>
  </r>
  <r>
    <s v="Data Analyst"/>
    <x v="1"/>
    <x v="0"/>
    <x v="0"/>
    <x v="5"/>
    <x v="3"/>
    <n v="2252169"/>
    <n v="1618035"/>
    <x v="0"/>
    <n v="134836.25"/>
  </r>
  <r>
    <s v="Data Scientist"/>
    <x v="2"/>
    <x v="1"/>
    <x v="2"/>
    <x v="2"/>
    <x v="0"/>
    <n v="2128695"/>
    <n v="1578482"/>
    <x v="2"/>
    <n v="131540.16666666666"/>
  </r>
  <r>
    <s v="Data Analyst"/>
    <x v="0"/>
    <x v="0"/>
    <x v="2"/>
    <x v="0"/>
    <x v="0"/>
    <n v="540662"/>
    <n v="410155"/>
    <x v="0"/>
    <n v="34179.583333333336"/>
  </r>
  <r>
    <s v="Data Analyst"/>
    <x v="2"/>
    <x v="0"/>
    <x v="3"/>
    <x v="2"/>
    <x v="2"/>
    <n v="1144949"/>
    <n v="878878"/>
    <x v="0"/>
    <n v="73239.833333333328"/>
  </r>
  <r>
    <s v="Analytics Consultant"/>
    <x v="1"/>
    <x v="0"/>
    <x v="2"/>
    <x v="3"/>
    <x v="0"/>
    <n v="3735982"/>
    <n v="2813353"/>
    <x v="0"/>
    <n v="234446.08333333334"/>
  </r>
  <r>
    <s v="Data Scientist"/>
    <x v="1"/>
    <x v="0"/>
    <x v="4"/>
    <x v="3"/>
    <x v="1"/>
    <n v="4100174"/>
    <n v="3113083"/>
    <x v="2"/>
    <n v="259423.58333333334"/>
  </r>
  <r>
    <s v="AI Researcher"/>
    <x v="0"/>
    <x v="0"/>
    <x v="5"/>
    <x v="6"/>
    <x v="3"/>
    <n v="1121566"/>
    <n v="860420"/>
    <x v="1"/>
    <n v="71701.666666666672"/>
  </r>
  <r>
    <s v="Data Analyst"/>
    <x v="2"/>
    <x v="0"/>
    <x v="3"/>
    <x v="0"/>
    <x v="0"/>
    <n v="1204317"/>
    <n v="894654"/>
    <x v="0"/>
    <n v="74554.5"/>
  </r>
  <r>
    <s v="AI Researcher"/>
    <x v="1"/>
    <x v="1"/>
    <x v="4"/>
    <x v="1"/>
    <x v="3"/>
    <n v="4397016"/>
    <n v="3169890"/>
    <x v="1"/>
    <n v="264157.5"/>
  </r>
  <r>
    <s v="Data Scientist"/>
    <x v="2"/>
    <x v="0"/>
    <x v="5"/>
    <x v="4"/>
    <x v="0"/>
    <n v="2235216"/>
    <n v="1766348"/>
    <x v="2"/>
    <n v="147195.66666666666"/>
  </r>
  <r>
    <s v="AI Researcher"/>
    <x v="1"/>
    <x v="0"/>
    <x v="0"/>
    <x v="4"/>
    <x v="1"/>
    <n v="5143658"/>
    <n v="3718893"/>
    <x v="1"/>
    <n v="309907.75"/>
  </r>
  <r>
    <s v="Data Analyst"/>
    <x v="1"/>
    <x v="0"/>
    <x v="1"/>
    <x v="1"/>
    <x v="1"/>
    <n v="3000253"/>
    <n v="2259741"/>
    <x v="0"/>
    <n v="188311.75"/>
  </r>
  <r>
    <s v="Data Scientist"/>
    <x v="0"/>
    <x v="1"/>
    <x v="0"/>
    <x v="1"/>
    <x v="2"/>
    <n v="555826"/>
    <n v="421281"/>
    <x v="2"/>
    <n v="35106.75"/>
  </r>
  <r>
    <s v="Big Data Engineer"/>
    <x v="2"/>
    <x v="0"/>
    <x v="1"/>
    <x v="1"/>
    <x v="2"/>
    <n v="2064337"/>
    <n v="1689960"/>
    <x v="2"/>
    <n v="140830"/>
  </r>
  <r>
    <s v="AI/ML Engineer"/>
    <x v="1"/>
    <x v="1"/>
    <x v="6"/>
    <x v="2"/>
    <x v="2"/>
    <n v="6898771"/>
    <n v="5449053"/>
    <x v="1"/>
    <n v="454087.75"/>
  </r>
  <r>
    <s v="Data Analyst"/>
    <x v="1"/>
    <x v="0"/>
    <x v="1"/>
    <x v="4"/>
    <x v="1"/>
    <n v="2298730"/>
    <n v="1846804"/>
    <x v="0"/>
    <n v="153900.33333333334"/>
  </r>
  <r>
    <s v="Analytics Consultant"/>
    <x v="1"/>
    <x v="0"/>
    <x v="6"/>
    <x v="1"/>
    <x v="3"/>
    <n v="4031631"/>
    <n v="2997454"/>
    <x v="0"/>
    <n v="249787.83333333334"/>
  </r>
  <r>
    <s v="AI Researcher"/>
    <x v="2"/>
    <x v="0"/>
    <x v="4"/>
    <x v="2"/>
    <x v="3"/>
    <n v="2983233"/>
    <n v="2440983"/>
    <x v="1"/>
    <n v="203415.25"/>
  </r>
  <r>
    <s v="AI Researcher"/>
    <x v="0"/>
    <x v="1"/>
    <x v="5"/>
    <x v="1"/>
    <x v="3"/>
    <n v="723648"/>
    <n v="509613"/>
    <x v="1"/>
    <n v="42467.75"/>
  </r>
  <r>
    <s v="Big Data Engineer"/>
    <x v="2"/>
    <x v="0"/>
    <x v="5"/>
    <x v="4"/>
    <x v="1"/>
    <n v="1938305"/>
    <n v="1521300"/>
    <x v="2"/>
    <n v="126775"/>
  </r>
  <r>
    <s v="AI Researcher"/>
    <x v="1"/>
    <x v="0"/>
    <x v="0"/>
    <x v="3"/>
    <x v="0"/>
    <n v="6121967"/>
    <n v="4693334"/>
    <x v="1"/>
    <n v="391111.16666666669"/>
  </r>
  <r>
    <s v="AI Researcher"/>
    <x v="1"/>
    <x v="0"/>
    <x v="0"/>
    <x v="0"/>
    <x v="0"/>
    <n v="4033785"/>
    <n v="2833195"/>
    <x v="1"/>
    <n v="236099.58333333334"/>
  </r>
  <r>
    <s v="Data Scientist"/>
    <x v="2"/>
    <x v="0"/>
    <x v="6"/>
    <x v="3"/>
    <x v="0"/>
    <n v="2301127"/>
    <n v="1720107"/>
    <x v="2"/>
    <n v="143342.25"/>
  </r>
  <r>
    <s v="Big Data Engineer"/>
    <x v="2"/>
    <x v="1"/>
    <x v="0"/>
    <x v="1"/>
    <x v="0"/>
    <n v="2258871"/>
    <n v="1590384"/>
    <x v="2"/>
    <n v="132532"/>
  </r>
  <r>
    <s v="Analytics Consultant"/>
    <x v="2"/>
    <x v="1"/>
    <x v="2"/>
    <x v="4"/>
    <x v="3"/>
    <n v="1794678"/>
    <n v="1439305"/>
    <x v="0"/>
    <n v="119942.08333333333"/>
  </r>
  <r>
    <s v="Data Scientist"/>
    <x v="2"/>
    <x v="1"/>
    <x v="4"/>
    <x v="0"/>
    <x v="0"/>
    <n v="1363270"/>
    <n v="1048896"/>
    <x v="2"/>
    <n v="87408"/>
  </r>
  <r>
    <s v="Big Data Engineer"/>
    <x v="2"/>
    <x v="1"/>
    <x v="5"/>
    <x v="2"/>
    <x v="0"/>
    <n v="1899385"/>
    <n v="1515889"/>
    <x v="2"/>
    <n v="126324.08333333333"/>
  </r>
  <r>
    <s v="Big Data Engineer"/>
    <x v="0"/>
    <x v="0"/>
    <x v="7"/>
    <x v="6"/>
    <x v="0"/>
    <n v="1032155"/>
    <n v="815105"/>
    <x v="2"/>
    <n v="67925.416666666672"/>
  </r>
  <r>
    <s v="Data Analyst"/>
    <x v="0"/>
    <x v="1"/>
    <x v="2"/>
    <x v="0"/>
    <x v="2"/>
    <n v="781664"/>
    <n v="569566"/>
    <x v="0"/>
    <n v="47463.833333333336"/>
  </r>
  <r>
    <s v="AI Researcher"/>
    <x v="0"/>
    <x v="1"/>
    <x v="2"/>
    <x v="3"/>
    <x v="1"/>
    <n v="1310169"/>
    <n v="1008980"/>
    <x v="1"/>
    <n v="84081.666666666672"/>
  </r>
  <r>
    <s v="Big Data Engineer"/>
    <x v="0"/>
    <x v="0"/>
    <x v="2"/>
    <x v="5"/>
    <x v="3"/>
    <n v="712817"/>
    <n v="553728"/>
    <x v="2"/>
    <n v="46144"/>
  </r>
  <r>
    <s v="Data Scientist"/>
    <x v="2"/>
    <x v="0"/>
    <x v="3"/>
    <x v="1"/>
    <x v="2"/>
    <n v="2468448"/>
    <n v="1946908"/>
    <x v="2"/>
    <n v="162242.33333333334"/>
  </r>
  <r>
    <s v="Data Scientist"/>
    <x v="1"/>
    <x v="0"/>
    <x v="1"/>
    <x v="1"/>
    <x v="1"/>
    <n v="3567908"/>
    <n v="2662011"/>
    <x v="2"/>
    <n v="221834.25"/>
  </r>
  <r>
    <s v="Data Scientist"/>
    <x v="1"/>
    <x v="0"/>
    <x v="1"/>
    <x v="5"/>
    <x v="0"/>
    <n v="3948475"/>
    <n v="3119930"/>
    <x v="2"/>
    <n v="259994.16666666666"/>
  </r>
  <r>
    <s v="Data Scientist"/>
    <x v="2"/>
    <x v="1"/>
    <x v="1"/>
    <x v="1"/>
    <x v="2"/>
    <n v="2255309"/>
    <n v="1718620"/>
    <x v="2"/>
    <n v="143218.33333333334"/>
  </r>
  <r>
    <s v="AI/ML Engineer"/>
    <x v="1"/>
    <x v="1"/>
    <x v="2"/>
    <x v="4"/>
    <x v="2"/>
    <n v="3291143"/>
    <n v="2458704"/>
    <x v="1"/>
    <n v="204892"/>
  </r>
  <r>
    <s v="Big Data Engineer"/>
    <x v="1"/>
    <x v="1"/>
    <x v="3"/>
    <x v="1"/>
    <x v="3"/>
    <n v="5105227"/>
    <n v="4046485"/>
    <x v="2"/>
    <n v="337207.08333333331"/>
  </r>
  <r>
    <s v="Analytics Consultant"/>
    <x v="1"/>
    <x v="1"/>
    <x v="3"/>
    <x v="5"/>
    <x v="2"/>
    <n v="4541141"/>
    <n v="3534388"/>
    <x v="0"/>
    <n v="294532.33333333331"/>
  </r>
  <r>
    <s v="AI/ML Engineer"/>
    <x v="1"/>
    <x v="0"/>
    <x v="1"/>
    <x v="3"/>
    <x v="2"/>
    <n v="6930830"/>
    <n v="5476648"/>
    <x v="1"/>
    <n v="456387.33333333331"/>
  </r>
  <r>
    <s v="Data Scientist"/>
    <x v="2"/>
    <x v="1"/>
    <x v="8"/>
    <x v="2"/>
    <x v="3"/>
    <n v="1690355"/>
    <n v="1265229"/>
    <x v="2"/>
    <n v="105435.75"/>
  </r>
  <r>
    <s v="AI/ML Engineer"/>
    <x v="0"/>
    <x v="0"/>
    <x v="3"/>
    <x v="5"/>
    <x v="3"/>
    <n v="616454"/>
    <n v="497142"/>
    <x v="1"/>
    <n v="41428.5"/>
  </r>
  <r>
    <s v="Analytics Consultant"/>
    <x v="1"/>
    <x v="1"/>
    <x v="1"/>
    <x v="6"/>
    <x v="3"/>
    <n v="4225244"/>
    <n v="3315060"/>
    <x v="0"/>
    <n v="276255"/>
  </r>
  <r>
    <s v="Data Analyst"/>
    <x v="0"/>
    <x v="1"/>
    <x v="1"/>
    <x v="2"/>
    <x v="3"/>
    <n v="600245"/>
    <n v="432131"/>
    <x v="0"/>
    <n v="36010.916666666664"/>
  </r>
  <r>
    <s v="AI Researcher"/>
    <x v="0"/>
    <x v="0"/>
    <x v="6"/>
    <x v="5"/>
    <x v="3"/>
    <n v="1343155"/>
    <n v="953296"/>
    <x v="1"/>
    <n v="79441.333333333328"/>
  </r>
  <r>
    <s v="Big Data Engineer"/>
    <x v="0"/>
    <x v="1"/>
    <x v="1"/>
    <x v="0"/>
    <x v="0"/>
    <n v="1092904"/>
    <n v="853900"/>
    <x v="2"/>
    <n v="71158.333333333328"/>
  </r>
  <r>
    <s v="Data Scientist"/>
    <x v="2"/>
    <x v="0"/>
    <x v="6"/>
    <x v="2"/>
    <x v="0"/>
    <n v="1604486"/>
    <n v="1185319"/>
    <x v="2"/>
    <n v="98776.583333333328"/>
  </r>
  <r>
    <s v="AI Researcher"/>
    <x v="0"/>
    <x v="0"/>
    <x v="0"/>
    <x v="3"/>
    <x v="0"/>
    <n v="1544080"/>
    <n v="1086462"/>
    <x v="1"/>
    <n v="90538.5"/>
  </r>
  <r>
    <s v="Big Data Engineer"/>
    <x v="0"/>
    <x v="0"/>
    <x v="7"/>
    <x v="4"/>
    <x v="2"/>
    <n v="567796"/>
    <n v="420086"/>
    <x v="2"/>
    <n v="35007.166666666664"/>
  </r>
  <r>
    <s v="Big Data Engineer"/>
    <x v="1"/>
    <x v="1"/>
    <x v="0"/>
    <x v="4"/>
    <x v="1"/>
    <n v="2564792"/>
    <n v="1992502"/>
    <x v="2"/>
    <n v="166041.83333333334"/>
  </r>
  <r>
    <s v="AI Researcher"/>
    <x v="2"/>
    <x v="1"/>
    <x v="1"/>
    <x v="2"/>
    <x v="2"/>
    <n v="2632474"/>
    <n v="1978063"/>
    <x v="1"/>
    <n v="164838.58333333334"/>
  </r>
  <r>
    <s v="AI Researcher"/>
    <x v="0"/>
    <x v="0"/>
    <x v="2"/>
    <x v="3"/>
    <x v="3"/>
    <n v="1300371"/>
    <n v="953464"/>
    <x v="1"/>
    <n v="79455.333333333328"/>
  </r>
  <r>
    <s v="Data Analyst"/>
    <x v="1"/>
    <x v="1"/>
    <x v="1"/>
    <x v="4"/>
    <x v="2"/>
    <n v="3088923"/>
    <n v="2501894"/>
    <x v="0"/>
    <n v="208491.16666666666"/>
  </r>
  <r>
    <s v="Big Data Engineer"/>
    <x v="2"/>
    <x v="1"/>
    <x v="7"/>
    <x v="2"/>
    <x v="3"/>
    <n v="2301221"/>
    <n v="1709547"/>
    <x v="2"/>
    <n v="142462.25"/>
  </r>
  <r>
    <s v="Analytics Consultant"/>
    <x v="1"/>
    <x v="0"/>
    <x v="3"/>
    <x v="1"/>
    <x v="1"/>
    <n v="4998838"/>
    <n v="4011790"/>
    <x v="0"/>
    <n v="334315.83333333331"/>
  </r>
  <r>
    <s v="Data Analyst"/>
    <x v="0"/>
    <x v="0"/>
    <x v="2"/>
    <x v="1"/>
    <x v="0"/>
    <n v="774906"/>
    <n v="566085"/>
    <x v="0"/>
    <n v="47173.75"/>
  </r>
  <r>
    <s v="Analytics Consultant"/>
    <x v="0"/>
    <x v="1"/>
    <x v="4"/>
    <x v="2"/>
    <x v="0"/>
    <n v="797276"/>
    <n v="581923"/>
    <x v="0"/>
    <n v="48493.583333333336"/>
  </r>
  <r>
    <s v="Big Data Engineer"/>
    <x v="0"/>
    <x v="0"/>
    <x v="0"/>
    <x v="2"/>
    <x v="1"/>
    <n v="896855"/>
    <n v="722430"/>
    <x v="2"/>
    <n v="60202.5"/>
  </r>
  <r>
    <s v="Big Data Engineer"/>
    <x v="2"/>
    <x v="0"/>
    <x v="4"/>
    <x v="6"/>
    <x v="3"/>
    <n v="1256137"/>
    <n v="901973"/>
    <x v="2"/>
    <n v="75164.416666666672"/>
  </r>
  <r>
    <s v="AI Researcher"/>
    <x v="1"/>
    <x v="1"/>
    <x v="1"/>
    <x v="4"/>
    <x v="2"/>
    <n v="4500275"/>
    <n v="3487305"/>
    <x v="1"/>
    <n v="290608.75"/>
  </r>
  <r>
    <s v="Big Data Engineer"/>
    <x v="0"/>
    <x v="1"/>
    <x v="6"/>
    <x v="4"/>
    <x v="2"/>
    <n v="999517"/>
    <n v="748123"/>
    <x v="2"/>
    <n v="62343.583333333336"/>
  </r>
  <r>
    <s v="Analytics Consultant"/>
    <x v="1"/>
    <x v="0"/>
    <x v="0"/>
    <x v="4"/>
    <x v="1"/>
    <n v="4488372"/>
    <n v="3383787"/>
    <x v="0"/>
    <n v="281982.25"/>
  </r>
  <r>
    <s v="Big Data Engineer"/>
    <x v="1"/>
    <x v="1"/>
    <x v="8"/>
    <x v="5"/>
    <x v="1"/>
    <n v="3721247"/>
    <n v="2878585"/>
    <x v="2"/>
    <n v="239882.08333333334"/>
  </r>
  <r>
    <s v="Big Data Engineer"/>
    <x v="2"/>
    <x v="1"/>
    <x v="6"/>
    <x v="5"/>
    <x v="3"/>
    <n v="1370571"/>
    <n v="1054603"/>
    <x v="2"/>
    <n v="87883.583333333328"/>
  </r>
  <r>
    <s v="Data Scientist"/>
    <x v="2"/>
    <x v="0"/>
    <x v="1"/>
    <x v="1"/>
    <x v="0"/>
    <n v="2081143"/>
    <n v="1512325"/>
    <x v="2"/>
    <n v="126027.08333333333"/>
  </r>
  <r>
    <s v="AI/ML Engineer"/>
    <x v="1"/>
    <x v="1"/>
    <x v="4"/>
    <x v="3"/>
    <x v="2"/>
    <n v="4855299"/>
    <n v="3592758"/>
    <x v="1"/>
    <n v="299396.5"/>
  </r>
  <r>
    <s v="Big Data Engineer"/>
    <x v="2"/>
    <x v="1"/>
    <x v="7"/>
    <x v="6"/>
    <x v="0"/>
    <n v="2341131"/>
    <n v="1759315"/>
    <x v="2"/>
    <n v="146609.58333333334"/>
  </r>
  <r>
    <s v="Data Analyst"/>
    <x v="1"/>
    <x v="1"/>
    <x v="2"/>
    <x v="5"/>
    <x v="2"/>
    <n v="2533511"/>
    <n v="1785437"/>
    <x v="0"/>
    <n v="148786.41666666666"/>
  </r>
  <r>
    <s v="Data Analyst"/>
    <x v="2"/>
    <x v="1"/>
    <x v="3"/>
    <x v="4"/>
    <x v="2"/>
    <n v="933029"/>
    <n v="690577"/>
    <x v="0"/>
    <n v="57548.083333333336"/>
  </r>
  <r>
    <s v="Big Data Engineer"/>
    <x v="0"/>
    <x v="0"/>
    <x v="0"/>
    <x v="1"/>
    <x v="0"/>
    <n v="701887"/>
    <n v="555251"/>
    <x v="2"/>
    <n v="46270.916666666664"/>
  </r>
  <r>
    <s v="AI Researcher"/>
    <x v="1"/>
    <x v="0"/>
    <x v="6"/>
    <x v="1"/>
    <x v="3"/>
    <n v="6700751"/>
    <n v="4821988"/>
    <x v="1"/>
    <n v="401832.33333333331"/>
  </r>
  <r>
    <s v="Analytics Consultant"/>
    <x v="2"/>
    <x v="0"/>
    <x v="0"/>
    <x v="4"/>
    <x v="3"/>
    <n v="2483117"/>
    <n v="1876462"/>
    <x v="0"/>
    <n v="156371.83333333334"/>
  </r>
  <r>
    <s v="Analytics Consultant"/>
    <x v="2"/>
    <x v="0"/>
    <x v="4"/>
    <x v="6"/>
    <x v="0"/>
    <n v="2142072"/>
    <n v="1511706"/>
    <x v="0"/>
    <n v="125975.5"/>
  </r>
  <r>
    <s v="Big Data Engineer"/>
    <x v="0"/>
    <x v="0"/>
    <x v="8"/>
    <x v="0"/>
    <x v="1"/>
    <n v="710375"/>
    <n v="534050"/>
    <x v="2"/>
    <n v="44504.166666666664"/>
  </r>
  <r>
    <s v="AI Researcher"/>
    <x v="1"/>
    <x v="0"/>
    <x v="0"/>
    <x v="2"/>
    <x v="2"/>
    <n v="5235775"/>
    <n v="4128798"/>
    <x v="1"/>
    <n v="344066.5"/>
  </r>
  <r>
    <s v="Analytics Consultant"/>
    <x v="1"/>
    <x v="0"/>
    <x v="5"/>
    <x v="5"/>
    <x v="2"/>
    <n v="3260433"/>
    <n v="2556444"/>
    <x v="0"/>
    <n v="213037"/>
  </r>
  <r>
    <s v="Analytics Consultant"/>
    <x v="2"/>
    <x v="0"/>
    <x v="7"/>
    <x v="3"/>
    <x v="2"/>
    <n v="1637804"/>
    <n v="1158285"/>
    <x v="0"/>
    <n v="96523.75"/>
  </r>
  <r>
    <s v="Analytics Consultant"/>
    <x v="1"/>
    <x v="1"/>
    <x v="2"/>
    <x v="1"/>
    <x v="1"/>
    <n v="4417581"/>
    <n v="3192470"/>
    <x v="0"/>
    <n v="266039.16666666669"/>
  </r>
  <r>
    <s v="AI/ML Engineer"/>
    <x v="0"/>
    <x v="1"/>
    <x v="0"/>
    <x v="6"/>
    <x v="0"/>
    <n v="1291780"/>
    <n v="914396"/>
    <x v="1"/>
    <n v="76199.666666666672"/>
  </r>
  <r>
    <s v="Data Analyst"/>
    <x v="2"/>
    <x v="0"/>
    <x v="6"/>
    <x v="4"/>
    <x v="1"/>
    <n v="843059"/>
    <n v="615739"/>
    <x v="0"/>
    <n v="51311.583333333336"/>
  </r>
  <r>
    <s v="AI/ML Engineer"/>
    <x v="1"/>
    <x v="0"/>
    <x v="5"/>
    <x v="4"/>
    <x v="1"/>
    <n v="6886685"/>
    <n v="5518865"/>
    <x v="1"/>
    <n v="459905.41666666669"/>
  </r>
  <r>
    <s v="Data Analyst"/>
    <x v="2"/>
    <x v="0"/>
    <x v="1"/>
    <x v="0"/>
    <x v="2"/>
    <n v="976385"/>
    <n v="720993"/>
    <x v="0"/>
    <n v="60082.75"/>
  </r>
  <r>
    <s v="Analytics Consultant"/>
    <x v="0"/>
    <x v="1"/>
    <x v="2"/>
    <x v="6"/>
    <x v="0"/>
    <n v="971520"/>
    <n v="680738"/>
    <x v="0"/>
    <n v="56728.166666666664"/>
  </r>
  <r>
    <s v="Data Scientist"/>
    <x v="0"/>
    <x v="0"/>
    <x v="0"/>
    <x v="0"/>
    <x v="1"/>
    <n v="502148"/>
    <n v="393636"/>
    <x v="2"/>
    <n v="32803"/>
  </r>
  <r>
    <s v="AI/ML Engineer"/>
    <x v="1"/>
    <x v="1"/>
    <x v="3"/>
    <x v="4"/>
    <x v="1"/>
    <n v="6738817"/>
    <n v="5365727"/>
    <x v="1"/>
    <n v="447143.91666666669"/>
  </r>
  <r>
    <s v="AI Researcher"/>
    <x v="1"/>
    <x v="0"/>
    <x v="1"/>
    <x v="5"/>
    <x v="3"/>
    <n v="4087559"/>
    <n v="2933898"/>
    <x v="1"/>
    <n v="244491.5"/>
  </r>
  <r>
    <s v="Data Scientist"/>
    <x v="0"/>
    <x v="1"/>
    <x v="1"/>
    <x v="4"/>
    <x v="1"/>
    <n v="1105580"/>
    <n v="865503"/>
    <x v="2"/>
    <n v="72125.25"/>
  </r>
  <r>
    <s v="Analytics Consultant"/>
    <x v="0"/>
    <x v="1"/>
    <x v="7"/>
    <x v="1"/>
    <x v="2"/>
    <n v="1033896"/>
    <n v="839754"/>
    <x v="0"/>
    <n v="69979.5"/>
  </r>
  <r>
    <s v="Data Analyst"/>
    <x v="0"/>
    <x v="0"/>
    <x v="1"/>
    <x v="3"/>
    <x v="1"/>
    <n v="328937"/>
    <n v="251756"/>
    <x v="0"/>
    <n v="20979.666666666668"/>
  </r>
  <r>
    <s v="Big Data Engineer"/>
    <x v="2"/>
    <x v="0"/>
    <x v="8"/>
    <x v="0"/>
    <x v="0"/>
    <n v="2061384"/>
    <n v="1632889"/>
    <x v="2"/>
    <n v="136074.08333333334"/>
  </r>
  <r>
    <s v="Data Analyst"/>
    <x v="2"/>
    <x v="1"/>
    <x v="2"/>
    <x v="4"/>
    <x v="0"/>
    <n v="1651671"/>
    <n v="1259301"/>
    <x v="0"/>
    <n v="104941.75"/>
  </r>
  <r>
    <s v="Data Analyst"/>
    <x v="1"/>
    <x v="0"/>
    <x v="0"/>
    <x v="3"/>
    <x v="0"/>
    <n v="2996095"/>
    <n v="2370134"/>
    <x v="0"/>
    <n v="197511.16666666666"/>
  </r>
  <r>
    <s v="Data Analyst"/>
    <x v="2"/>
    <x v="0"/>
    <x v="7"/>
    <x v="5"/>
    <x v="2"/>
    <n v="1222626"/>
    <n v="983870"/>
    <x v="0"/>
    <n v="81989.166666666672"/>
  </r>
  <r>
    <s v="Analytics Consultant"/>
    <x v="2"/>
    <x v="0"/>
    <x v="1"/>
    <x v="5"/>
    <x v="2"/>
    <n v="1512112"/>
    <n v="1208306"/>
    <x v="0"/>
    <n v="100692.16666666667"/>
  </r>
  <r>
    <s v="AI/ML Engineer"/>
    <x v="0"/>
    <x v="1"/>
    <x v="3"/>
    <x v="4"/>
    <x v="0"/>
    <n v="836054"/>
    <n v="600342"/>
    <x v="1"/>
    <n v="50028.5"/>
  </r>
  <r>
    <s v="Data Analyst"/>
    <x v="1"/>
    <x v="1"/>
    <x v="3"/>
    <x v="1"/>
    <x v="0"/>
    <n v="2170341"/>
    <n v="1574587"/>
    <x v="0"/>
    <n v="131215.58333333334"/>
  </r>
  <r>
    <s v="AI/ML Engineer"/>
    <x v="1"/>
    <x v="1"/>
    <x v="1"/>
    <x v="3"/>
    <x v="0"/>
    <n v="6513308"/>
    <n v="5089523"/>
    <x v="1"/>
    <n v="424126.91666666669"/>
  </r>
  <r>
    <s v="Data Scientist"/>
    <x v="0"/>
    <x v="1"/>
    <x v="3"/>
    <x v="6"/>
    <x v="0"/>
    <n v="492095"/>
    <n v="377287"/>
    <x v="2"/>
    <n v="31440.583333333332"/>
  </r>
  <r>
    <s v="AI Researcher"/>
    <x v="2"/>
    <x v="1"/>
    <x v="5"/>
    <x v="2"/>
    <x v="3"/>
    <n v="2741325"/>
    <n v="2020851"/>
    <x v="1"/>
    <n v="168404.25"/>
  </r>
  <r>
    <s v="AI/ML Engineer"/>
    <x v="0"/>
    <x v="0"/>
    <x v="6"/>
    <x v="6"/>
    <x v="0"/>
    <n v="1236818"/>
    <n v="906505"/>
    <x v="1"/>
    <n v="75542.083333333328"/>
  </r>
  <r>
    <s v="Big Data Engineer"/>
    <x v="1"/>
    <x v="0"/>
    <x v="0"/>
    <x v="4"/>
    <x v="3"/>
    <n v="4313767"/>
    <n v="3303331"/>
    <x v="2"/>
    <n v="275277.58333333331"/>
  </r>
  <r>
    <s v="Big Data Engineer"/>
    <x v="1"/>
    <x v="0"/>
    <x v="5"/>
    <x v="2"/>
    <x v="0"/>
    <n v="4967867"/>
    <n v="3675775"/>
    <x v="2"/>
    <n v="306314.58333333331"/>
  </r>
  <r>
    <s v="AI Researcher"/>
    <x v="0"/>
    <x v="1"/>
    <x v="3"/>
    <x v="6"/>
    <x v="2"/>
    <n v="1517860"/>
    <n v="1209742"/>
    <x v="1"/>
    <n v="100811.83333333333"/>
  </r>
  <r>
    <s v="Analytics Consultant"/>
    <x v="2"/>
    <x v="1"/>
    <x v="8"/>
    <x v="5"/>
    <x v="0"/>
    <n v="1935736"/>
    <n v="1442041"/>
    <x v="0"/>
    <n v="120170.08333333333"/>
  </r>
  <r>
    <s v="Data Scientist"/>
    <x v="0"/>
    <x v="0"/>
    <x v="6"/>
    <x v="0"/>
    <x v="0"/>
    <n v="913915"/>
    <n v="708780"/>
    <x v="2"/>
    <n v="59065"/>
  </r>
  <r>
    <s v="Data Analyst"/>
    <x v="0"/>
    <x v="0"/>
    <x v="7"/>
    <x v="0"/>
    <x v="1"/>
    <n v="787937"/>
    <n v="591667"/>
    <x v="0"/>
    <n v="49305.583333333336"/>
  </r>
  <r>
    <s v="Analytics Consultant"/>
    <x v="0"/>
    <x v="1"/>
    <x v="8"/>
    <x v="4"/>
    <x v="0"/>
    <n v="659929"/>
    <n v="479708"/>
    <x v="0"/>
    <n v="39975.666666666664"/>
  </r>
  <r>
    <s v="Data Scientist"/>
    <x v="0"/>
    <x v="0"/>
    <x v="2"/>
    <x v="4"/>
    <x v="1"/>
    <n v="576038"/>
    <n v="422866"/>
    <x v="2"/>
    <n v="35238.833333333336"/>
  </r>
  <r>
    <s v="Analytics Consultant"/>
    <x v="1"/>
    <x v="1"/>
    <x v="0"/>
    <x v="4"/>
    <x v="0"/>
    <n v="3098989"/>
    <n v="2460190"/>
    <x v="0"/>
    <n v="205015.83333333334"/>
  </r>
  <r>
    <s v="Analytics Consultant"/>
    <x v="1"/>
    <x v="0"/>
    <x v="2"/>
    <x v="2"/>
    <x v="2"/>
    <n v="3266434"/>
    <n v="2519799"/>
    <x v="0"/>
    <n v="209983.25"/>
  </r>
  <r>
    <s v="AI/ML Engineer"/>
    <x v="1"/>
    <x v="0"/>
    <x v="4"/>
    <x v="4"/>
    <x v="3"/>
    <n v="6605500"/>
    <n v="4752824"/>
    <x v="1"/>
    <n v="396068.66666666669"/>
  </r>
  <r>
    <s v="AI/ML Engineer"/>
    <x v="2"/>
    <x v="1"/>
    <x v="2"/>
    <x v="4"/>
    <x v="1"/>
    <n v="1508245"/>
    <n v="1161949"/>
    <x v="1"/>
    <n v="96829.083333333328"/>
  </r>
  <r>
    <s v="Analytics Consultant"/>
    <x v="1"/>
    <x v="1"/>
    <x v="8"/>
    <x v="0"/>
    <x v="0"/>
    <n v="4844622"/>
    <n v="3720339"/>
    <x v="0"/>
    <n v="310028.25"/>
  </r>
  <r>
    <s v="Analytics Consultant"/>
    <x v="0"/>
    <x v="0"/>
    <x v="1"/>
    <x v="6"/>
    <x v="1"/>
    <n v="655091"/>
    <n v="467442"/>
    <x v="0"/>
    <n v="38953.5"/>
  </r>
  <r>
    <s v="Data Scientist"/>
    <x v="2"/>
    <x v="1"/>
    <x v="8"/>
    <x v="0"/>
    <x v="0"/>
    <n v="2118764"/>
    <n v="1592665"/>
    <x v="2"/>
    <n v="132722.08333333334"/>
  </r>
  <r>
    <s v="AI Researcher"/>
    <x v="1"/>
    <x v="1"/>
    <x v="3"/>
    <x v="1"/>
    <x v="0"/>
    <n v="6930317"/>
    <n v="5170291"/>
    <x v="1"/>
    <n v="430857.58333333331"/>
  </r>
  <r>
    <s v="Data Analyst"/>
    <x v="2"/>
    <x v="1"/>
    <x v="8"/>
    <x v="3"/>
    <x v="0"/>
    <n v="1069717"/>
    <n v="870146"/>
    <x v="0"/>
    <n v="72512.166666666672"/>
  </r>
  <r>
    <s v="AI/ML Engineer"/>
    <x v="1"/>
    <x v="0"/>
    <x v="5"/>
    <x v="4"/>
    <x v="0"/>
    <n v="3826664"/>
    <n v="2941114"/>
    <x v="1"/>
    <n v="245092.83333333334"/>
  </r>
  <r>
    <s v="Data Scientist"/>
    <x v="0"/>
    <x v="0"/>
    <x v="4"/>
    <x v="2"/>
    <x v="1"/>
    <n v="1004277"/>
    <n v="808291"/>
    <x v="2"/>
    <n v="67357.583333333328"/>
  </r>
  <r>
    <s v="Big Data Engineer"/>
    <x v="0"/>
    <x v="0"/>
    <x v="3"/>
    <x v="0"/>
    <x v="2"/>
    <n v="843070"/>
    <n v="642814"/>
    <x v="2"/>
    <n v="53567.833333333336"/>
  </r>
  <r>
    <s v="Big Data Engineer"/>
    <x v="0"/>
    <x v="0"/>
    <x v="7"/>
    <x v="3"/>
    <x v="1"/>
    <n v="615318"/>
    <n v="449704"/>
    <x v="2"/>
    <n v="37475.333333333336"/>
  </r>
  <r>
    <s v="Data Analyst"/>
    <x v="2"/>
    <x v="0"/>
    <x v="1"/>
    <x v="2"/>
    <x v="1"/>
    <n v="1161335"/>
    <n v="932024"/>
    <x v="0"/>
    <n v="77668.666666666672"/>
  </r>
  <r>
    <s v="Big Data Engineer"/>
    <x v="0"/>
    <x v="0"/>
    <x v="4"/>
    <x v="0"/>
    <x v="1"/>
    <n v="942027"/>
    <n v="750791"/>
    <x v="2"/>
    <n v="62565.916666666664"/>
  </r>
  <r>
    <s v="Analytics Consultant"/>
    <x v="2"/>
    <x v="0"/>
    <x v="1"/>
    <x v="3"/>
    <x v="0"/>
    <n v="2466806"/>
    <n v="1931365"/>
    <x v="0"/>
    <n v="160947.08333333334"/>
  </r>
  <r>
    <s v="Data Analyst"/>
    <x v="0"/>
    <x v="0"/>
    <x v="4"/>
    <x v="0"/>
    <x v="1"/>
    <n v="624235"/>
    <n v="476672"/>
    <x v="0"/>
    <n v="39722.666666666664"/>
  </r>
  <r>
    <s v="AI/ML Engineer"/>
    <x v="1"/>
    <x v="0"/>
    <x v="3"/>
    <x v="2"/>
    <x v="3"/>
    <n v="4181245"/>
    <n v="3067414"/>
    <x v="1"/>
    <n v="255617.83333333334"/>
  </r>
  <r>
    <s v="AI Researcher"/>
    <x v="0"/>
    <x v="1"/>
    <x v="3"/>
    <x v="3"/>
    <x v="1"/>
    <n v="717399"/>
    <n v="557222"/>
    <x v="1"/>
    <n v="46435.166666666664"/>
  </r>
  <r>
    <s v="AI/ML Engineer"/>
    <x v="1"/>
    <x v="1"/>
    <x v="8"/>
    <x v="4"/>
    <x v="1"/>
    <n v="5714156"/>
    <n v="4121705"/>
    <x v="1"/>
    <n v="343475.41666666669"/>
  </r>
  <r>
    <s v="Analytics Consultant"/>
    <x v="2"/>
    <x v="0"/>
    <x v="7"/>
    <x v="1"/>
    <x v="0"/>
    <n v="1379907"/>
    <n v="1017176"/>
    <x v="0"/>
    <n v="84764.666666666672"/>
  </r>
  <r>
    <s v="Data Scientist"/>
    <x v="0"/>
    <x v="1"/>
    <x v="8"/>
    <x v="6"/>
    <x v="2"/>
    <n v="778913"/>
    <n v="606739"/>
    <x v="2"/>
    <n v="50561.583333333336"/>
  </r>
  <r>
    <s v="Big Data Engineer"/>
    <x v="1"/>
    <x v="0"/>
    <x v="1"/>
    <x v="1"/>
    <x v="3"/>
    <n v="4040129"/>
    <n v="3236360"/>
    <x v="2"/>
    <n v="269696.66666666669"/>
  </r>
  <r>
    <s v="Data Analyst"/>
    <x v="1"/>
    <x v="0"/>
    <x v="0"/>
    <x v="5"/>
    <x v="3"/>
    <n v="2346117"/>
    <n v="1729745"/>
    <x v="0"/>
    <n v="144145.41666666666"/>
  </r>
  <r>
    <s v="Big Data Engineer"/>
    <x v="2"/>
    <x v="0"/>
    <x v="7"/>
    <x v="3"/>
    <x v="1"/>
    <n v="1661036"/>
    <n v="1318295"/>
    <x v="2"/>
    <n v="109857.91666666667"/>
  </r>
  <r>
    <s v="Big Data Engineer"/>
    <x v="1"/>
    <x v="1"/>
    <x v="1"/>
    <x v="0"/>
    <x v="3"/>
    <n v="2636588"/>
    <n v="2135598"/>
    <x v="2"/>
    <n v="177966.5"/>
  </r>
  <r>
    <s v="Analytics Consultant"/>
    <x v="0"/>
    <x v="0"/>
    <x v="5"/>
    <x v="1"/>
    <x v="0"/>
    <n v="926202"/>
    <n v="710806"/>
    <x v="0"/>
    <n v="59233.833333333336"/>
  </r>
  <r>
    <s v="AI Researcher"/>
    <x v="1"/>
    <x v="1"/>
    <x v="1"/>
    <x v="3"/>
    <x v="1"/>
    <n v="6491892"/>
    <n v="4992743"/>
    <x v="1"/>
    <n v="416061.91666666669"/>
  </r>
  <r>
    <s v="AI Researcher"/>
    <x v="0"/>
    <x v="0"/>
    <x v="1"/>
    <x v="5"/>
    <x v="2"/>
    <n v="1464962"/>
    <n v="1115862"/>
    <x v="1"/>
    <n v="92988.5"/>
  </r>
  <r>
    <s v="Analytics Consultant"/>
    <x v="1"/>
    <x v="1"/>
    <x v="1"/>
    <x v="3"/>
    <x v="1"/>
    <n v="4255130"/>
    <n v="3284170"/>
    <x v="0"/>
    <n v="273680.83333333331"/>
  </r>
  <r>
    <s v="Analytics Consultant"/>
    <x v="2"/>
    <x v="0"/>
    <x v="8"/>
    <x v="3"/>
    <x v="2"/>
    <n v="2483195"/>
    <n v="1945446"/>
    <x v="0"/>
    <n v="162120.5"/>
  </r>
  <r>
    <s v="Big Data Engineer"/>
    <x v="0"/>
    <x v="0"/>
    <x v="5"/>
    <x v="4"/>
    <x v="1"/>
    <n v="1021479"/>
    <n v="792481"/>
    <x v="2"/>
    <n v="66040.083333333328"/>
  </r>
  <r>
    <s v="Big Data Engineer"/>
    <x v="1"/>
    <x v="1"/>
    <x v="4"/>
    <x v="3"/>
    <x v="2"/>
    <n v="5229868"/>
    <n v="4084582"/>
    <x v="2"/>
    <n v="340381.83333333331"/>
  </r>
  <r>
    <s v="Analytics Consultant"/>
    <x v="2"/>
    <x v="0"/>
    <x v="7"/>
    <x v="3"/>
    <x v="0"/>
    <n v="2004465"/>
    <n v="1589391"/>
    <x v="0"/>
    <n v="132449.25"/>
  </r>
  <r>
    <s v="Analytics Consultant"/>
    <x v="0"/>
    <x v="0"/>
    <x v="0"/>
    <x v="4"/>
    <x v="1"/>
    <n v="931751"/>
    <n v="656033"/>
    <x v="0"/>
    <n v="54669.416666666664"/>
  </r>
  <r>
    <s v="AI Researcher"/>
    <x v="1"/>
    <x v="0"/>
    <x v="1"/>
    <x v="2"/>
    <x v="2"/>
    <n v="5025201"/>
    <n v="3581751"/>
    <x v="1"/>
    <n v="298479.25"/>
  </r>
  <r>
    <s v="AI Researcher"/>
    <x v="2"/>
    <x v="1"/>
    <x v="0"/>
    <x v="3"/>
    <x v="0"/>
    <n v="2176202"/>
    <n v="1578518"/>
    <x v="1"/>
    <n v="131543.16666666666"/>
  </r>
  <r>
    <s v="AI Researcher"/>
    <x v="2"/>
    <x v="0"/>
    <x v="6"/>
    <x v="6"/>
    <x v="3"/>
    <n v="2787416"/>
    <n v="2031147"/>
    <x v="1"/>
    <n v="169262.25"/>
  </r>
  <r>
    <s v="Analytics Consultant"/>
    <x v="1"/>
    <x v="0"/>
    <x v="3"/>
    <x v="1"/>
    <x v="2"/>
    <n v="3160734"/>
    <n v="2439956"/>
    <x v="0"/>
    <n v="203329.66666666666"/>
  </r>
  <r>
    <s v="AI Researcher"/>
    <x v="0"/>
    <x v="1"/>
    <x v="5"/>
    <x v="1"/>
    <x v="0"/>
    <n v="1403515"/>
    <n v="1063237"/>
    <x v="1"/>
    <n v="88603.083333333328"/>
  </r>
  <r>
    <s v="Big Data Engineer"/>
    <x v="2"/>
    <x v="0"/>
    <x v="1"/>
    <x v="5"/>
    <x v="2"/>
    <n v="1986934"/>
    <n v="1612526"/>
    <x v="2"/>
    <n v="134377.16666666666"/>
  </r>
  <r>
    <s v="Big Data Engineer"/>
    <x v="0"/>
    <x v="0"/>
    <x v="0"/>
    <x v="4"/>
    <x v="2"/>
    <n v="911759"/>
    <n v="666414"/>
    <x v="2"/>
    <n v="55534.5"/>
  </r>
  <r>
    <s v="Analytics Consultant"/>
    <x v="0"/>
    <x v="0"/>
    <x v="4"/>
    <x v="2"/>
    <x v="1"/>
    <n v="1163672"/>
    <n v="856448"/>
    <x v="0"/>
    <n v="71370.666666666672"/>
  </r>
  <r>
    <s v="AI/ML Engineer"/>
    <x v="0"/>
    <x v="1"/>
    <x v="0"/>
    <x v="0"/>
    <x v="2"/>
    <n v="1064110"/>
    <n v="860062"/>
    <x v="1"/>
    <n v="71671.833333333328"/>
  </r>
  <r>
    <s v="Data Scientist"/>
    <x v="2"/>
    <x v="1"/>
    <x v="5"/>
    <x v="1"/>
    <x v="2"/>
    <n v="1863835"/>
    <n v="1333579"/>
    <x v="2"/>
    <n v="111131.58333333333"/>
  </r>
  <r>
    <s v="Analytics Consultant"/>
    <x v="0"/>
    <x v="1"/>
    <x v="8"/>
    <x v="2"/>
    <x v="2"/>
    <n v="1158709"/>
    <n v="818792"/>
    <x v="0"/>
    <n v="68232.666666666672"/>
  </r>
  <r>
    <s v="Data Analyst"/>
    <x v="1"/>
    <x v="0"/>
    <x v="7"/>
    <x v="3"/>
    <x v="2"/>
    <n v="2410850"/>
    <n v="1688065"/>
    <x v="0"/>
    <n v="140672.08333333334"/>
  </r>
  <r>
    <s v="Data Scientist"/>
    <x v="1"/>
    <x v="0"/>
    <x v="8"/>
    <x v="6"/>
    <x v="3"/>
    <n v="3820840"/>
    <n v="3096088"/>
    <x v="2"/>
    <n v="258007.33333333334"/>
  </r>
  <r>
    <s v="AI Researcher"/>
    <x v="2"/>
    <x v="0"/>
    <x v="3"/>
    <x v="1"/>
    <x v="0"/>
    <n v="1918906"/>
    <n v="1464399"/>
    <x v="1"/>
    <n v="122033.25"/>
  </r>
  <r>
    <s v="Data Analyst"/>
    <x v="0"/>
    <x v="0"/>
    <x v="3"/>
    <x v="3"/>
    <x v="0"/>
    <n v="500050"/>
    <n v="357125"/>
    <x v="0"/>
    <n v="29760.416666666668"/>
  </r>
  <r>
    <s v="Data Analyst"/>
    <x v="1"/>
    <x v="0"/>
    <x v="7"/>
    <x v="4"/>
    <x v="3"/>
    <n v="2360787"/>
    <n v="1741682"/>
    <x v="0"/>
    <n v="145140.16666666666"/>
  </r>
  <r>
    <s v="AI/ML Engineer"/>
    <x v="2"/>
    <x v="0"/>
    <x v="1"/>
    <x v="1"/>
    <x v="2"/>
    <n v="2739805"/>
    <n v="1980206"/>
    <x v="1"/>
    <n v="165017.16666666666"/>
  </r>
  <r>
    <s v="AI/ML Engineer"/>
    <x v="2"/>
    <x v="1"/>
    <x v="3"/>
    <x v="2"/>
    <x v="1"/>
    <n v="1560035"/>
    <n v="1224079"/>
    <x v="1"/>
    <n v="102006.58333333333"/>
  </r>
  <r>
    <s v="AI/ML Engineer"/>
    <x v="1"/>
    <x v="1"/>
    <x v="8"/>
    <x v="5"/>
    <x v="2"/>
    <n v="6900144"/>
    <n v="5529141"/>
    <x v="1"/>
    <n v="460761.75"/>
  </r>
  <r>
    <s v="Data Scientist"/>
    <x v="2"/>
    <x v="1"/>
    <x v="3"/>
    <x v="1"/>
    <x v="1"/>
    <n v="1345585"/>
    <n v="979356"/>
    <x v="2"/>
    <n v="81613"/>
  </r>
  <r>
    <s v="Data Scientist"/>
    <x v="2"/>
    <x v="1"/>
    <x v="0"/>
    <x v="0"/>
    <x v="2"/>
    <n v="2038531"/>
    <n v="1491112"/>
    <x v="2"/>
    <n v="124259.33333333333"/>
  </r>
  <r>
    <s v="Data Analyst"/>
    <x v="2"/>
    <x v="1"/>
    <x v="6"/>
    <x v="2"/>
    <x v="3"/>
    <n v="1650391"/>
    <n v="1263882"/>
    <x v="0"/>
    <n v="105323.5"/>
  </r>
  <r>
    <s v="AI/ML Engineer"/>
    <x v="1"/>
    <x v="0"/>
    <x v="8"/>
    <x v="1"/>
    <x v="0"/>
    <n v="6415680"/>
    <n v="5022459"/>
    <x v="1"/>
    <n v="418538.25"/>
  </r>
  <r>
    <s v="Analytics Consultant"/>
    <x v="2"/>
    <x v="0"/>
    <x v="6"/>
    <x v="0"/>
    <x v="1"/>
    <n v="2290085"/>
    <n v="1672267"/>
    <x v="0"/>
    <n v="139355.58333333334"/>
  </r>
  <r>
    <s v="AI/ML Engineer"/>
    <x v="0"/>
    <x v="0"/>
    <x v="4"/>
    <x v="2"/>
    <x v="2"/>
    <n v="973943"/>
    <n v="704948"/>
    <x v="1"/>
    <n v="58745.666666666664"/>
  </r>
  <r>
    <s v="AI/ML Engineer"/>
    <x v="1"/>
    <x v="0"/>
    <x v="7"/>
    <x v="0"/>
    <x v="0"/>
    <n v="4964057"/>
    <n v="3743212"/>
    <x v="1"/>
    <n v="311934.33333333331"/>
  </r>
  <r>
    <s v="Analytics Consultant"/>
    <x v="0"/>
    <x v="0"/>
    <x v="5"/>
    <x v="1"/>
    <x v="3"/>
    <n v="1154536"/>
    <n v="888166"/>
    <x v="0"/>
    <n v="74013.833333333328"/>
  </r>
  <r>
    <s v="AI/ML Engineer"/>
    <x v="2"/>
    <x v="0"/>
    <x v="4"/>
    <x v="2"/>
    <x v="3"/>
    <n v="2999667"/>
    <n v="2350938"/>
    <x v="1"/>
    <n v="195911.5"/>
  </r>
  <r>
    <s v="Analytics Consultant"/>
    <x v="1"/>
    <x v="1"/>
    <x v="6"/>
    <x v="3"/>
    <x v="0"/>
    <n v="3343487"/>
    <n v="2637448"/>
    <x v="0"/>
    <n v="219787.33333333334"/>
  </r>
  <r>
    <s v="Data Analyst"/>
    <x v="1"/>
    <x v="0"/>
    <x v="8"/>
    <x v="2"/>
    <x v="1"/>
    <n v="1950559"/>
    <n v="1501853"/>
    <x v="0"/>
    <n v="125154.41666666667"/>
  </r>
  <r>
    <s v="AI Researcher"/>
    <x v="0"/>
    <x v="0"/>
    <x v="2"/>
    <x v="3"/>
    <x v="1"/>
    <n v="904242"/>
    <n v="732450"/>
    <x v="1"/>
    <n v="61037.5"/>
  </r>
  <r>
    <s v="Data Analyst"/>
    <x v="2"/>
    <x v="1"/>
    <x v="3"/>
    <x v="5"/>
    <x v="1"/>
    <n v="1610267"/>
    <n v="1287701"/>
    <x v="0"/>
    <n v="107308.41666666667"/>
  </r>
  <r>
    <s v="Analytics Consultant"/>
    <x v="1"/>
    <x v="1"/>
    <x v="7"/>
    <x v="0"/>
    <x v="0"/>
    <n v="3991065"/>
    <n v="2846048"/>
    <x v="0"/>
    <n v="237170.66666666666"/>
  </r>
  <r>
    <s v="Big Data Engineer"/>
    <x v="2"/>
    <x v="1"/>
    <x v="4"/>
    <x v="0"/>
    <x v="2"/>
    <n v="1655485"/>
    <n v="1244924"/>
    <x v="2"/>
    <n v="103743.66666666667"/>
  </r>
  <r>
    <s v="AI/ML Engineer"/>
    <x v="1"/>
    <x v="0"/>
    <x v="7"/>
    <x v="5"/>
    <x v="1"/>
    <n v="3104329"/>
    <n v="2506020"/>
    <x v="1"/>
    <n v="208835"/>
  </r>
  <r>
    <s v="Big Data Engineer"/>
    <x v="0"/>
    <x v="0"/>
    <x v="5"/>
    <x v="1"/>
    <x v="0"/>
    <n v="984542"/>
    <n v="704292"/>
    <x v="2"/>
    <n v="58691"/>
  </r>
  <r>
    <s v="Data Analyst"/>
    <x v="1"/>
    <x v="0"/>
    <x v="7"/>
    <x v="6"/>
    <x v="2"/>
    <n v="2829363"/>
    <n v="2148900"/>
    <x v="0"/>
    <n v="179075"/>
  </r>
  <r>
    <s v="Analytics Consultant"/>
    <x v="2"/>
    <x v="1"/>
    <x v="5"/>
    <x v="2"/>
    <x v="1"/>
    <n v="1928763"/>
    <n v="1451509"/>
    <x v="0"/>
    <n v="120959.08333333333"/>
  </r>
  <r>
    <s v="AI Researcher"/>
    <x v="1"/>
    <x v="0"/>
    <x v="3"/>
    <x v="6"/>
    <x v="2"/>
    <n v="3830376"/>
    <n v="3103413"/>
    <x v="1"/>
    <n v="258617.75"/>
  </r>
  <r>
    <s v="AI Researcher"/>
    <x v="0"/>
    <x v="0"/>
    <x v="7"/>
    <x v="2"/>
    <x v="0"/>
    <n v="956208"/>
    <n v="780875"/>
    <x v="1"/>
    <n v="65072.916666666664"/>
  </r>
  <r>
    <s v="Big Data Engineer"/>
    <x v="0"/>
    <x v="1"/>
    <x v="4"/>
    <x v="5"/>
    <x v="0"/>
    <n v="803291"/>
    <n v="651966"/>
    <x v="2"/>
    <n v="54330.5"/>
  </r>
  <r>
    <s v="AI/ML Engineer"/>
    <x v="1"/>
    <x v="1"/>
    <x v="8"/>
    <x v="4"/>
    <x v="1"/>
    <n v="4712524"/>
    <n v="3712848"/>
    <x v="1"/>
    <n v="309404"/>
  </r>
  <r>
    <s v="Big Data Engineer"/>
    <x v="0"/>
    <x v="0"/>
    <x v="4"/>
    <x v="1"/>
    <x v="0"/>
    <n v="847091"/>
    <n v="658094"/>
    <x v="2"/>
    <n v="54841.166666666664"/>
  </r>
  <r>
    <s v="AI Researcher"/>
    <x v="1"/>
    <x v="1"/>
    <x v="6"/>
    <x v="3"/>
    <x v="1"/>
    <n v="5923843"/>
    <n v="4157752"/>
    <x v="1"/>
    <n v="346479.33333333331"/>
  </r>
  <r>
    <s v="Data Analyst"/>
    <x v="2"/>
    <x v="0"/>
    <x v="6"/>
    <x v="4"/>
    <x v="3"/>
    <n v="1297379"/>
    <n v="953710"/>
    <x v="0"/>
    <n v="79475.833333333328"/>
  </r>
  <r>
    <s v="AI Researcher"/>
    <x v="1"/>
    <x v="1"/>
    <x v="2"/>
    <x v="0"/>
    <x v="1"/>
    <n v="4122441"/>
    <n v="3216224"/>
    <x v="1"/>
    <n v="268018.66666666669"/>
  </r>
  <r>
    <s v="Data Scientist"/>
    <x v="2"/>
    <x v="1"/>
    <x v="3"/>
    <x v="5"/>
    <x v="0"/>
    <n v="2343311"/>
    <n v="1900123"/>
    <x v="2"/>
    <n v="158343.58333333334"/>
  </r>
  <r>
    <s v="Data Analyst"/>
    <x v="2"/>
    <x v="0"/>
    <x v="4"/>
    <x v="2"/>
    <x v="0"/>
    <n v="1787680"/>
    <n v="1334080"/>
    <x v="0"/>
    <n v="111173.33333333333"/>
  </r>
  <r>
    <s v="Big Data Engineer"/>
    <x v="2"/>
    <x v="1"/>
    <x v="2"/>
    <x v="5"/>
    <x v="3"/>
    <n v="1254089"/>
    <n v="977626"/>
    <x v="2"/>
    <n v="81468.833333333328"/>
  </r>
  <r>
    <s v="Analytics Consultant"/>
    <x v="0"/>
    <x v="1"/>
    <x v="3"/>
    <x v="0"/>
    <x v="2"/>
    <n v="706197"/>
    <n v="574585"/>
    <x v="0"/>
    <n v="47882.083333333336"/>
  </r>
  <r>
    <s v="Big Data Engineer"/>
    <x v="0"/>
    <x v="0"/>
    <x v="2"/>
    <x v="0"/>
    <x v="3"/>
    <n v="668909"/>
    <n v="533742"/>
    <x v="2"/>
    <n v="44478.5"/>
  </r>
  <r>
    <s v="AI Researcher"/>
    <x v="1"/>
    <x v="1"/>
    <x v="1"/>
    <x v="3"/>
    <x v="2"/>
    <n v="6758994"/>
    <n v="5281891"/>
    <x v="1"/>
    <n v="440157.58333333331"/>
  </r>
  <r>
    <s v="AI Researcher"/>
    <x v="2"/>
    <x v="0"/>
    <x v="8"/>
    <x v="6"/>
    <x v="0"/>
    <n v="3076810"/>
    <n v="2292947"/>
    <x v="1"/>
    <n v="191078.91666666666"/>
  </r>
  <r>
    <s v="AI/ML Engineer"/>
    <x v="1"/>
    <x v="0"/>
    <x v="2"/>
    <x v="0"/>
    <x v="3"/>
    <n v="4043085"/>
    <n v="3228423"/>
    <x v="1"/>
    <n v="269035.25"/>
  </r>
  <r>
    <s v="Big Data Engineer"/>
    <x v="1"/>
    <x v="0"/>
    <x v="3"/>
    <x v="3"/>
    <x v="1"/>
    <n v="5262703"/>
    <n v="3853308"/>
    <x v="2"/>
    <n v="321109"/>
  </r>
  <r>
    <s v="Data Analyst"/>
    <x v="0"/>
    <x v="0"/>
    <x v="4"/>
    <x v="5"/>
    <x v="2"/>
    <n v="708319"/>
    <n v="525595"/>
    <x v="0"/>
    <n v="43799.583333333336"/>
  </r>
  <r>
    <s v="Data Analyst"/>
    <x v="0"/>
    <x v="1"/>
    <x v="6"/>
    <x v="1"/>
    <x v="0"/>
    <n v="569366"/>
    <n v="444430"/>
    <x v="0"/>
    <n v="37035.833333333336"/>
  </r>
  <r>
    <s v="Analytics Consultant"/>
    <x v="1"/>
    <x v="0"/>
    <x v="7"/>
    <x v="0"/>
    <x v="0"/>
    <n v="3118062"/>
    <n v="2552851"/>
    <x v="0"/>
    <n v="212737.58333333334"/>
  </r>
  <r>
    <s v="AI/ML Engineer"/>
    <x v="1"/>
    <x v="1"/>
    <x v="4"/>
    <x v="6"/>
    <x v="1"/>
    <n v="6271472"/>
    <n v="4973758"/>
    <x v="1"/>
    <n v="414479.83333333331"/>
  </r>
  <r>
    <s v="Data Scientist"/>
    <x v="2"/>
    <x v="0"/>
    <x v="8"/>
    <x v="1"/>
    <x v="3"/>
    <n v="1989836"/>
    <n v="1451962"/>
    <x v="2"/>
    <n v="120996.83333333333"/>
  </r>
  <r>
    <s v="Data Analyst"/>
    <x v="1"/>
    <x v="1"/>
    <x v="5"/>
    <x v="5"/>
    <x v="2"/>
    <n v="2180553"/>
    <n v="1622621"/>
    <x v="0"/>
    <n v="135218.41666666666"/>
  </r>
  <r>
    <s v="Analytics Consultant"/>
    <x v="1"/>
    <x v="0"/>
    <x v="8"/>
    <x v="4"/>
    <x v="3"/>
    <n v="2624012"/>
    <n v="1950215"/>
    <x v="0"/>
    <n v="162517.91666666666"/>
  </r>
  <r>
    <s v="Big Data Engineer"/>
    <x v="1"/>
    <x v="1"/>
    <x v="2"/>
    <x v="0"/>
    <x v="0"/>
    <n v="4443894"/>
    <n v="3330230"/>
    <x v="2"/>
    <n v="277519.16666666669"/>
  </r>
  <r>
    <s v="Data Analyst"/>
    <x v="2"/>
    <x v="1"/>
    <x v="6"/>
    <x v="1"/>
    <x v="1"/>
    <n v="1276611"/>
    <n v="1029439"/>
    <x v="0"/>
    <n v="85786.583333333328"/>
  </r>
  <r>
    <s v="Data Analyst"/>
    <x v="2"/>
    <x v="1"/>
    <x v="7"/>
    <x v="0"/>
    <x v="2"/>
    <n v="1540093"/>
    <n v="1200132"/>
    <x v="0"/>
    <n v="100011"/>
  </r>
  <r>
    <s v="Data Scientist"/>
    <x v="0"/>
    <x v="1"/>
    <x v="6"/>
    <x v="0"/>
    <x v="1"/>
    <n v="654419"/>
    <n v="536164"/>
    <x v="2"/>
    <n v="44680.333333333336"/>
  </r>
  <r>
    <s v="Data Scientist"/>
    <x v="1"/>
    <x v="1"/>
    <x v="3"/>
    <x v="3"/>
    <x v="2"/>
    <n v="5983949"/>
    <n v="4834773"/>
    <x v="2"/>
    <n v="402897.75"/>
  </r>
  <r>
    <s v="AI Researcher"/>
    <x v="1"/>
    <x v="0"/>
    <x v="6"/>
    <x v="6"/>
    <x v="3"/>
    <n v="6508163"/>
    <n v="5197742"/>
    <x v="1"/>
    <n v="433145.16666666669"/>
  </r>
  <r>
    <s v="AI/ML Engineer"/>
    <x v="1"/>
    <x v="1"/>
    <x v="6"/>
    <x v="6"/>
    <x v="1"/>
    <n v="3203645"/>
    <n v="2369863"/>
    <x v="1"/>
    <n v="197488.58333333334"/>
  </r>
  <r>
    <s v="Data Scientist"/>
    <x v="1"/>
    <x v="1"/>
    <x v="2"/>
    <x v="0"/>
    <x v="2"/>
    <n v="5231730"/>
    <n v="4282050"/>
    <x v="2"/>
    <n v="356837.5"/>
  </r>
  <r>
    <s v="Data Analyst"/>
    <x v="1"/>
    <x v="0"/>
    <x v="5"/>
    <x v="0"/>
    <x v="2"/>
    <n v="2700635"/>
    <n v="1907634"/>
    <x v="0"/>
    <n v="158969.5"/>
  </r>
  <r>
    <s v="AI Researcher"/>
    <x v="0"/>
    <x v="1"/>
    <x v="6"/>
    <x v="0"/>
    <x v="1"/>
    <n v="1059137"/>
    <n v="802081"/>
    <x v="1"/>
    <n v="66840.083333333328"/>
  </r>
  <r>
    <s v="Data Analyst"/>
    <x v="2"/>
    <x v="1"/>
    <x v="7"/>
    <x v="3"/>
    <x v="0"/>
    <n v="1318704"/>
    <n v="942556"/>
    <x v="0"/>
    <n v="78546.333333333328"/>
  </r>
  <r>
    <s v="Big Data Engineer"/>
    <x v="0"/>
    <x v="1"/>
    <x v="4"/>
    <x v="0"/>
    <x v="0"/>
    <n v="505749"/>
    <n v="375877"/>
    <x v="2"/>
    <n v="31323.083333333332"/>
  </r>
  <r>
    <s v="Analytics Consultant"/>
    <x v="0"/>
    <x v="1"/>
    <x v="8"/>
    <x v="1"/>
    <x v="2"/>
    <n v="529562"/>
    <n v="406419"/>
    <x v="0"/>
    <n v="33868.25"/>
  </r>
  <r>
    <s v="Analytics Consultant"/>
    <x v="0"/>
    <x v="0"/>
    <x v="3"/>
    <x v="1"/>
    <x v="3"/>
    <n v="1133606"/>
    <n v="858100"/>
    <x v="0"/>
    <n v="71508.333333333328"/>
  </r>
  <r>
    <s v="Data Analyst"/>
    <x v="0"/>
    <x v="0"/>
    <x v="0"/>
    <x v="2"/>
    <x v="1"/>
    <n v="367478"/>
    <n v="300934"/>
    <x v="0"/>
    <n v="25077.833333333332"/>
  </r>
  <r>
    <s v="Data Analyst"/>
    <x v="1"/>
    <x v="1"/>
    <x v="5"/>
    <x v="1"/>
    <x v="2"/>
    <n v="2820120"/>
    <n v="2016304"/>
    <x v="0"/>
    <n v="168025.33333333334"/>
  </r>
  <r>
    <s v="Big Data Engineer"/>
    <x v="2"/>
    <x v="0"/>
    <x v="5"/>
    <x v="1"/>
    <x v="0"/>
    <n v="2375002"/>
    <n v="1869824"/>
    <x v="2"/>
    <n v="155818.66666666666"/>
  </r>
  <r>
    <s v="AI Researcher"/>
    <x v="1"/>
    <x v="1"/>
    <x v="3"/>
    <x v="1"/>
    <x v="2"/>
    <n v="6071686"/>
    <n v="4953216"/>
    <x v="1"/>
    <n v="412768"/>
  </r>
  <r>
    <s v="Data Analyst"/>
    <x v="2"/>
    <x v="1"/>
    <x v="2"/>
    <x v="2"/>
    <x v="2"/>
    <n v="1248009"/>
    <n v="930563"/>
    <x v="0"/>
    <n v="77546.916666666672"/>
  </r>
  <r>
    <s v="Big Data Engineer"/>
    <x v="1"/>
    <x v="1"/>
    <x v="5"/>
    <x v="2"/>
    <x v="2"/>
    <n v="5169546"/>
    <n v="3911153"/>
    <x v="2"/>
    <n v="325929.41666666669"/>
  </r>
  <r>
    <s v="Data Scientist"/>
    <x v="1"/>
    <x v="0"/>
    <x v="5"/>
    <x v="1"/>
    <x v="0"/>
    <n v="2504091"/>
    <n v="1988970"/>
    <x v="2"/>
    <n v="165747.5"/>
  </r>
  <r>
    <s v="Big Data Engineer"/>
    <x v="0"/>
    <x v="1"/>
    <x v="3"/>
    <x v="5"/>
    <x v="3"/>
    <n v="645758"/>
    <n v="498463"/>
    <x v="2"/>
    <n v="41538.583333333336"/>
  </r>
  <r>
    <s v="Data Analyst"/>
    <x v="1"/>
    <x v="1"/>
    <x v="5"/>
    <x v="4"/>
    <x v="3"/>
    <n v="3197466"/>
    <n v="2280535"/>
    <x v="0"/>
    <n v="190044.58333333334"/>
  </r>
  <r>
    <s v="Analytics Consultant"/>
    <x v="0"/>
    <x v="0"/>
    <x v="1"/>
    <x v="2"/>
    <x v="2"/>
    <n v="572838"/>
    <n v="459040"/>
    <x v="0"/>
    <n v="38253.333333333336"/>
  </r>
  <r>
    <s v="Analytics Consultant"/>
    <x v="0"/>
    <x v="0"/>
    <x v="0"/>
    <x v="4"/>
    <x v="0"/>
    <n v="859751"/>
    <n v="687449"/>
    <x v="0"/>
    <n v="57287.416666666664"/>
  </r>
  <r>
    <s v="Data Scientist"/>
    <x v="2"/>
    <x v="0"/>
    <x v="6"/>
    <x v="1"/>
    <x v="3"/>
    <n v="1829189"/>
    <n v="1349353"/>
    <x v="2"/>
    <n v="112446.08333333333"/>
  </r>
  <r>
    <s v="AI/ML Engineer"/>
    <x v="2"/>
    <x v="1"/>
    <x v="1"/>
    <x v="6"/>
    <x v="1"/>
    <n v="2678042"/>
    <n v="1946773"/>
    <x v="1"/>
    <n v="162231.08333333334"/>
  </r>
  <r>
    <s v="Data Scientist"/>
    <x v="0"/>
    <x v="1"/>
    <x v="5"/>
    <x v="0"/>
    <x v="0"/>
    <n v="884172"/>
    <n v="676155"/>
    <x v="2"/>
    <n v="56346.25"/>
  </r>
  <r>
    <s v="Data Analyst"/>
    <x v="1"/>
    <x v="0"/>
    <x v="0"/>
    <x v="5"/>
    <x v="1"/>
    <n v="1922410"/>
    <n v="1456403"/>
    <x v="0"/>
    <n v="121366.91666666667"/>
  </r>
  <r>
    <s v="Data Scientist"/>
    <x v="1"/>
    <x v="1"/>
    <x v="4"/>
    <x v="3"/>
    <x v="1"/>
    <n v="3448666"/>
    <n v="2584407"/>
    <x v="2"/>
    <n v="215367.25"/>
  </r>
  <r>
    <s v="AI/ML Engineer"/>
    <x v="2"/>
    <x v="0"/>
    <x v="2"/>
    <x v="5"/>
    <x v="2"/>
    <n v="2721914"/>
    <n v="2031315"/>
    <x v="1"/>
    <n v="169276.25"/>
  </r>
  <r>
    <s v="AI Researcher"/>
    <x v="2"/>
    <x v="1"/>
    <x v="1"/>
    <x v="6"/>
    <x v="0"/>
    <n v="2107639"/>
    <n v="1539572"/>
    <x v="1"/>
    <n v="128297.66666666667"/>
  </r>
  <r>
    <s v="Data Analyst"/>
    <x v="0"/>
    <x v="0"/>
    <x v="3"/>
    <x v="2"/>
    <x v="0"/>
    <n v="652543"/>
    <n v="473154"/>
    <x v="0"/>
    <n v="39429.5"/>
  </r>
  <r>
    <s v="Big Data Engineer"/>
    <x v="1"/>
    <x v="0"/>
    <x v="0"/>
    <x v="5"/>
    <x v="0"/>
    <n v="5059808"/>
    <n v="4130788"/>
    <x v="2"/>
    <n v="344232.33333333331"/>
  </r>
  <r>
    <s v="Data Scientist"/>
    <x v="2"/>
    <x v="1"/>
    <x v="0"/>
    <x v="3"/>
    <x v="3"/>
    <n v="1252152"/>
    <n v="969113"/>
    <x v="2"/>
    <n v="80759.416666666672"/>
  </r>
  <r>
    <s v="AI Researcher"/>
    <x v="2"/>
    <x v="0"/>
    <x v="2"/>
    <x v="1"/>
    <x v="0"/>
    <n v="2890776"/>
    <n v="2306182"/>
    <x v="1"/>
    <n v="192181.83333333334"/>
  </r>
  <r>
    <s v="Data Analyst"/>
    <x v="1"/>
    <x v="1"/>
    <x v="4"/>
    <x v="4"/>
    <x v="2"/>
    <n v="2942887"/>
    <n v="2279059"/>
    <x v="0"/>
    <n v="189921.58333333334"/>
  </r>
  <r>
    <s v="Analytics Consultant"/>
    <x v="0"/>
    <x v="1"/>
    <x v="2"/>
    <x v="3"/>
    <x v="3"/>
    <n v="511340"/>
    <n v="368268"/>
    <x v="0"/>
    <n v="30689"/>
  </r>
  <r>
    <s v="Data Scientist"/>
    <x v="1"/>
    <x v="1"/>
    <x v="4"/>
    <x v="2"/>
    <x v="1"/>
    <n v="2687611"/>
    <n v="1914043"/>
    <x v="2"/>
    <n v="159503.58333333334"/>
  </r>
  <r>
    <s v="AI Researcher"/>
    <x v="0"/>
    <x v="0"/>
    <x v="8"/>
    <x v="2"/>
    <x v="0"/>
    <n v="1538853"/>
    <n v="1126157"/>
    <x v="1"/>
    <n v="93846.416666666672"/>
  </r>
  <r>
    <s v="Data Scientist"/>
    <x v="1"/>
    <x v="0"/>
    <x v="2"/>
    <x v="6"/>
    <x v="2"/>
    <n v="4565818"/>
    <n v="3321010"/>
    <x v="2"/>
    <n v="276750.83333333331"/>
  </r>
  <r>
    <s v="Data Scientist"/>
    <x v="1"/>
    <x v="1"/>
    <x v="8"/>
    <x v="6"/>
    <x v="2"/>
    <n v="4142268"/>
    <n v="3031855"/>
    <x v="2"/>
    <n v="252654.58333333334"/>
  </r>
  <r>
    <s v="Data Analyst"/>
    <x v="0"/>
    <x v="0"/>
    <x v="8"/>
    <x v="5"/>
    <x v="3"/>
    <n v="571160"/>
    <n v="443429"/>
    <x v="0"/>
    <n v="36952.416666666664"/>
  </r>
  <r>
    <s v="Data Scientist"/>
    <x v="0"/>
    <x v="0"/>
    <x v="6"/>
    <x v="6"/>
    <x v="2"/>
    <n v="735624"/>
    <n v="586243"/>
    <x v="2"/>
    <n v="48853.583333333336"/>
  </r>
  <r>
    <s v="AI Researcher"/>
    <x v="0"/>
    <x v="0"/>
    <x v="5"/>
    <x v="5"/>
    <x v="0"/>
    <n v="1446747"/>
    <n v="1032199"/>
    <x v="1"/>
    <n v="86016.583333333328"/>
  </r>
  <r>
    <s v="Data Scientist"/>
    <x v="2"/>
    <x v="1"/>
    <x v="4"/>
    <x v="4"/>
    <x v="0"/>
    <n v="1488415"/>
    <n v="1136392"/>
    <x v="2"/>
    <n v="94699.333333333328"/>
  </r>
  <r>
    <s v="Data Analyst"/>
    <x v="0"/>
    <x v="0"/>
    <x v="7"/>
    <x v="3"/>
    <x v="0"/>
    <n v="775283"/>
    <n v="579273"/>
    <x v="0"/>
    <n v="48272.75"/>
  </r>
  <r>
    <s v="AI Researcher"/>
    <x v="0"/>
    <x v="1"/>
    <x v="8"/>
    <x v="2"/>
    <x v="2"/>
    <n v="1029505"/>
    <n v="781715"/>
    <x v="1"/>
    <n v="65142.916666666664"/>
  </r>
  <r>
    <s v="Analytics Consultant"/>
    <x v="0"/>
    <x v="0"/>
    <x v="6"/>
    <x v="2"/>
    <x v="1"/>
    <n v="527126"/>
    <n v="407973"/>
    <x v="0"/>
    <n v="33997.75"/>
  </r>
  <r>
    <s v="Data Scientist"/>
    <x v="0"/>
    <x v="0"/>
    <x v="7"/>
    <x v="6"/>
    <x v="2"/>
    <n v="951085"/>
    <n v="705364"/>
    <x v="2"/>
    <n v="58780.333333333336"/>
  </r>
  <r>
    <s v="Data Scientist"/>
    <x v="0"/>
    <x v="1"/>
    <x v="6"/>
    <x v="2"/>
    <x v="3"/>
    <n v="560856"/>
    <n v="445028"/>
    <x v="2"/>
    <n v="37085.666666666664"/>
  </r>
  <r>
    <s v="AI Researcher"/>
    <x v="0"/>
    <x v="1"/>
    <x v="7"/>
    <x v="3"/>
    <x v="3"/>
    <n v="1565421"/>
    <n v="1196913"/>
    <x v="1"/>
    <n v="99742.75"/>
  </r>
  <r>
    <s v="AI Researcher"/>
    <x v="0"/>
    <x v="0"/>
    <x v="1"/>
    <x v="5"/>
    <x v="3"/>
    <n v="791069"/>
    <n v="618247"/>
    <x v="1"/>
    <n v="51520.583333333336"/>
  </r>
  <r>
    <s v="Data Scientist"/>
    <x v="1"/>
    <x v="1"/>
    <x v="0"/>
    <x v="4"/>
    <x v="2"/>
    <n v="4730618"/>
    <n v="3496699"/>
    <x v="2"/>
    <n v="291391.58333333331"/>
  </r>
  <r>
    <s v="AI Researcher"/>
    <x v="0"/>
    <x v="1"/>
    <x v="3"/>
    <x v="4"/>
    <x v="0"/>
    <n v="758470"/>
    <n v="536454"/>
    <x v="1"/>
    <n v="44704.5"/>
  </r>
  <r>
    <s v="Analytics Consultant"/>
    <x v="2"/>
    <x v="0"/>
    <x v="6"/>
    <x v="0"/>
    <x v="1"/>
    <n v="1884386"/>
    <n v="1421684"/>
    <x v="0"/>
    <n v="118473.66666666667"/>
  </r>
  <r>
    <s v="Big Data Engineer"/>
    <x v="0"/>
    <x v="0"/>
    <x v="5"/>
    <x v="0"/>
    <x v="3"/>
    <n v="633204"/>
    <n v="463404"/>
    <x v="2"/>
    <n v="38617"/>
  </r>
  <r>
    <s v="Data Analyst"/>
    <x v="2"/>
    <x v="1"/>
    <x v="6"/>
    <x v="5"/>
    <x v="2"/>
    <n v="1127875"/>
    <n v="841499"/>
    <x v="0"/>
    <n v="70124.916666666672"/>
  </r>
  <r>
    <s v="Analytics Consultant"/>
    <x v="0"/>
    <x v="1"/>
    <x v="1"/>
    <x v="0"/>
    <x v="3"/>
    <n v="534399"/>
    <n v="428824"/>
    <x v="0"/>
    <n v="35735.333333333336"/>
  </r>
  <r>
    <s v="Analytics Consultant"/>
    <x v="0"/>
    <x v="1"/>
    <x v="0"/>
    <x v="6"/>
    <x v="3"/>
    <n v="569899"/>
    <n v="441143"/>
    <x v="0"/>
    <n v="36761.916666666664"/>
  </r>
  <r>
    <s v="Analytics Consultant"/>
    <x v="2"/>
    <x v="1"/>
    <x v="6"/>
    <x v="0"/>
    <x v="1"/>
    <n v="1473881"/>
    <n v="1092909"/>
    <x v="0"/>
    <n v="91075.75"/>
  </r>
  <r>
    <s v="AI/ML Engineer"/>
    <x v="2"/>
    <x v="0"/>
    <x v="5"/>
    <x v="1"/>
    <x v="2"/>
    <n v="1684065"/>
    <n v="1342450"/>
    <x v="1"/>
    <n v="111870.83333333333"/>
  </r>
  <r>
    <s v="Data Scientist"/>
    <x v="1"/>
    <x v="0"/>
    <x v="4"/>
    <x v="6"/>
    <x v="2"/>
    <n v="4035643"/>
    <n v="3229412"/>
    <x v="2"/>
    <n v="269117.66666666669"/>
  </r>
  <r>
    <s v="Data Analyst"/>
    <x v="1"/>
    <x v="0"/>
    <x v="4"/>
    <x v="2"/>
    <x v="1"/>
    <n v="2004091"/>
    <n v="1635971"/>
    <x v="0"/>
    <n v="136330.91666666666"/>
  </r>
  <r>
    <s v="AI/ML Engineer"/>
    <x v="2"/>
    <x v="0"/>
    <x v="7"/>
    <x v="0"/>
    <x v="2"/>
    <n v="2266353"/>
    <n v="1814422"/>
    <x v="1"/>
    <n v="151201.83333333334"/>
  </r>
  <r>
    <s v="AI/ML Engineer"/>
    <x v="1"/>
    <x v="0"/>
    <x v="7"/>
    <x v="1"/>
    <x v="1"/>
    <n v="4410023"/>
    <n v="3219021"/>
    <x v="1"/>
    <n v="268251.75"/>
  </r>
  <r>
    <s v="AI Researcher"/>
    <x v="1"/>
    <x v="0"/>
    <x v="4"/>
    <x v="5"/>
    <x v="2"/>
    <n v="6864015"/>
    <n v="5325125"/>
    <x v="1"/>
    <n v="443760.41666666669"/>
  </r>
  <r>
    <s v="Analytics Consultant"/>
    <x v="2"/>
    <x v="1"/>
    <x v="8"/>
    <x v="1"/>
    <x v="2"/>
    <n v="2482242"/>
    <n v="1972773"/>
    <x v="0"/>
    <n v="164397.75"/>
  </r>
  <r>
    <s v="AI Researcher"/>
    <x v="0"/>
    <x v="1"/>
    <x v="5"/>
    <x v="4"/>
    <x v="0"/>
    <n v="838156"/>
    <n v="640393"/>
    <x v="1"/>
    <n v="53366.083333333336"/>
  </r>
  <r>
    <s v="Data Analyst"/>
    <x v="1"/>
    <x v="0"/>
    <x v="6"/>
    <x v="4"/>
    <x v="0"/>
    <n v="2666841"/>
    <n v="2089177"/>
    <x v="0"/>
    <n v="174098.08333333334"/>
  </r>
  <r>
    <s v="Analytics Consultant"/>
    <x v="2"/>
    <x v="1"/>
    <x v="8"/>
    <x v="5"/>
    <x v="0"/>
    <n v="2376492"/>
    <n v="1694348"/>
    <x v="0"/>
    <n v="141195.66666666666"/>
  </r>
  <r>
    <s v="Analytics Consultant"/>
    <x v="2"/>
    <x v="0"/>
    <x v="6"/>
    <x v="1"/>
    <x v="3"/>
    <n v="2487113"/>
    <n v="1917891"/>
    <x v="0"/>
    <n v="159824.25"/>
  </r>
  <r>
    <s v="Data Scientist"/>
    <x v="2"/>
    <x v="1"/>
    <x v="6"/>
    <x v="6"/>
    <x v="0"/>
    <n v="1254795"/>
    <n v="959590"/>
    <x v="2"/>
    <n v="79965.833333333328"/>
  </r>
  <r>
    <s v="Analytics Consultant"/>
    <x v="1"/>
    <x v="1"/>
    <x v="6"/>
    <x v="6"/>
    <x v="0"/>
    <n v="4887040"/>
    <n v="3804734"/>
    <x v="0"/>
    <n v="317061.16666666669"/>
  </r>
  <r>
    <s v="Big Data Engineer"/>
    <x v="2"/>
    <x v="0"/>
    <x v="8"/>
    <x v="6"/>
    <x v="2"/>
    <n v="1480010"/>
    <n v="1110614"/>
    <x v="2"/>
    <n v="92551.166666666672"/>
  </r>
  <r>
    <s v="AI/ML Engineer"/>
    <x v="2"/>
    <x v="0"/>
    <x v="6"/>
    <x v="6"/>
    <x v="1"/>
    <n v="2223747"/>
    <n v="1594594"/>
    <x v="1"/>
    <n v="132882.83333333334"/>
  </r>
  <r>
    <s v="Analytics Consultant"/>
    <x v="1"/>
    <x v="1"/>
    <x v="8"/>
    <x v="2"/>
    <x v="0"/>
    <n v="4298447"/>
    <n v="3037950"/>
    <x v="0"/>
    <n v="253162.5"/>
  </r>
  <r>
    <s v="AI Researcher"/>
    <x v="1"/>
    <x v="1"/>
    <x v="0"/>
    <x v="2"/>
    <x v="2"/>
    <n v="3795741"/>
    <n v="3008970"/>
    <x v="1"/>
    <n v="250747.5"/>
  </r>
  <r>
    <s v="AI Researcher"/>
    <x v="0"/>
    <x v="1"/>
    <x v="3"/>
    <x v="4"/>
    <x v="2"/>
    <n v="740786"/>
    <n v="533041"/>
    <x v="1"/>
    <n v="44420.083333333336"/>
  </r>
  <r>
    <s v="Data Analyst"/>
    <x v="1"/>
    <x v="0"/>
    <x v="5"/>
    <x v="3"/>
    <x v="1"/>
    <n v="2157593"/>
    <n v="1674902"/>
    <x v="0"/>
    <n v="139575.16666666666"/>
  </r>
  <r>
    <s v="Data Scientist"/>
    <x v="0"/>
    <x v="0"/>
    <x v="7"/>
    <x v="4"/>
    <x v="1"/>
    <n v="1092564"/>
    <n v="875646"/>
    <x v="2"/>
    <n v="72970.5"/>
  </r>
  <r>
    <s v="Data Scientist"/>
    <x v="1"/>
    <x v="0"/>
    <x v="2"/>
    <x v="0"/>
    <x v="3"/>
    <n v="3764573"/>
    <n v="2793314"/>
    <x v="2"/>
    <n v="232776.16666666666"/>
  </r>
  <r>
    <s v="Data Analyst"/>
    <x v="0"/>
    <x v="1"/>
    <x v="3"/>
    <x v="5"/>
    <x v="0"/>
    <n v="559614"/>
    <n v="412262"/>
    <x v="0"/>
    <n v="34355.166666666664"/>
  </r>
  <r>
    <s v="Big Data Engineer"/>
    <x v="2"/>
    <x v="1"/>
    <x v="6"/>
    <x v="1"/>
    <x v="0"/>
    <n v="2474087"/>
    <n v="1886638"/>
    <x v="2"/>
    <n v="157219.83333333334"/>
  </r>
  <r>
    <s v="Data Analyst"/>
    <x v="0"/>
    <x v="1"/>
    <x v="6"/>
    <x v="1"/>
    <x v="1"/>
    <n v="633463"/>
    <n v="456267"/>
    <x v="0"/>
    <n v="38022.25"/>
  </r>
  <r>
    <s v="Data Scientist"/>
    <x v="1"/>
    <x v="0"/>
    <x v="4"/>
    <x v="2"/>
    <x v="2"/>
    <n v="5438610"/>
    <n v="4064037"/>
    <x v="2"/>
    <n v="338669.75"/>
  </r>
  <r>
    <s v="Big Data Engineer"/>
    <x v="1"/>
    <x v="0"/>
    <x v="8"/>
    <x v="4"/>
    <x v="2"/>
    <n v="2594335"/>
    <n v="2056625"/>
    <x v="2"/>
    <n v="171385.41666666666"/>
  </r>
  <r>
    <s v="Big Data Engineer"/>
    <x v="1"/>
    <x v="1"/>
    <x v="2"/>
    <x v="1"/>
    <x v="1"/>
    <n v="5388549"/>
    <n v="4162599"/>
    <x v="2"/>
    <n v="346883.25"/>
  </r>
  <r>
    <s v="Data Analyst"/>
    <x v="1"/>
    <x v="1"/>
    <x v="3"/>
    <x v="3"/>
    <x v="2"/>
    <n v="2835254"/>
    <n v="2324446"/>
    <x v="0"/>
    <n v="193703.83333333334"/>
  </r>
  <r>
    <s v="Analytics Consultant"/>
    <x v="1"/>
    <x v="0"/>
    <x v="7"/>
    <x v="2"/>
    <x v="2"/>
    <n v="4356241"/>
    <n v="3337557"/>
    <x v="0"/>
    <n v="278129.75"/>
  </r>
  <r>
    <s v="Analytics Consultant"/>
    <x v="1"/>
    <x v="1"/>
    <x v="4"/>
    <x v="2"/>
    <x v="3"/>
    <n v="3275228"/>
    <n v="2305313"/>
    <x v="0"/>
    <n v="192109.41666666666"/>
  </r>
  <r>
    <s v="Big Data Engineer"/>
    <x v="1"/>
    <x v="1"/>
    <x v="6"/>
    <x v="1"/>
    <x v="1"/>
    <n v="5385174"/>
    <n v="4037116"/>
    <x v="2"/>
    <n v="336426.33333333331"/>
  </r>
  <r>
    <s v="AI Researcher"/>
    <x v="2"/>
    <x v="1"/>
    <x v="4"/>
    <x v="6"/>
    <x v="3"/>
    <n v="1968876"/>
    <n v="1496870"/>
    <x v="1"/>
    <n v="124739.16666666667"/>
  </r>
  <r>
    <s v="AI/ML Engineer"/>
    <x v="2"/>
    <x v="0"/>
    <x v="6"/>
    <x v="3"/>
    <x v="0"/>
    <n v="2738466"/>
    <n v="2123627"/>
    <x v="1"/>
    <n v="176968.91666666666"/>
  </r>
  <r>
    <s v="Data Analyst"/>
    <x v="1"/>
    <x v="1"/>
    <x v="8"/>
    <x v="6"/>
    <x v="2"/>
    <n v="1889546"/>
    <n v="1325872"/>
    <x v="0"/>
    <n v="110489.33333333333"/>
  </r>
  <r>
    <s v="AI/ML Engineer"/>
    <x v="1"/>
    <x v="0"/>
    <x v="5"/>
    <x v="1"/>
    <x v="1"/>
    <n v="3449978"/>
    <n v="2474309"/>
    <x v="1"/>
    <n v="206192.41666666666"/>
  </r>
  <r>
    <s v="Data Scientist"/>
    <x v="1"/>
    <x v="0"/>
    <x v="2"/>
    <x v="6"/>
    <x v="3"/>
    <n v="3424294"/>
    <n v="2707496"/>
    <x v="2"/>
    <n v="225624.66666666666"/>
  </r>
  <r>
    <s v="AI/ML Engineer"/>
    <x v="2"/>
    <x v="1"/>
    <x v="1"/>
    <x v="1"/>
    <x v="3"/>
    <n v="2363526"/>
    <n v="1677437"/>
    <x v="1"/>
    <n v="139786.41666666666"/>
  </r>
  <r>
    <s v="Big Data Engineer"/>
    <x v="2"/>
    <x v="0"/>
    <x v="2"/>
    <x v="2"/>
    <x v="2"/>
    <n v="1716337"/>
    <n v="1277692"/>
    <x v="2"/>
    <n v="106474.33333333333"/>
  </r>
  <r>
    <s v="AI Researcher"/>
    <x v="0"/>
    <x v="0"/>
    <x v="8"/>
    <x v="5"/>
    <x v="1"/>
    <n v="1233347"/>
    <n v="950819"/>
    <x v="1"/>
    <n v="79234.916666666672"/>
  </r>
  <r>
    <s v="Data Analyst"/>
    <x v="1"/>
    <x v="1"/>
    <x v="1"/>
    <x v="4"/>
    <x v="2"/>
    <n v="3334456"/>
    <n v="2682340"/>
    <x v="0"/>
    <n v="223528.33333333334"/>
  </r>
  <r>
    <s v="Data Analyst"/>
    <x v="2"/>
    <x v="0"/>
    <x v="5"/>
    <x v="6"/>
    <x v="1"/>
    <n v="1215615"/>
    <n v="879874"/>
    <x v="0"/>
    <n v="73322.833333333328"/>
  </r>
  <r>
    <s v="Data Scientist"/>
    <x v="1"/>
    <x v="1"/>
    <x v="0"/>
    <x v="0"/>
    <x v="2"/>
    <n v="4232055"/>
    <n v="2966983"/>
    <x v="2"/>
    <n v="247248.58333333334"/>
  </r>
  <r>
    <s v="Data Scientist"/>
    <x v="1"/>
    <x v="1"/>
    <x v="4"/>
    <x v="0"/>
    <x v="1"/>
    <n v="4373990"/>
    <n v="3151082"/>
    <x v="2"/>
    <n v="262590.16666666669"/>
  </r>
  <r>
    <s v="AI Researcher"/>
    <x v="1"/>
    <x v="0"/>
    <x v="4"/>
    <x v="1"/>
    <x v="1"/>
    <n v="6174899"/>
    <n v="4715487"/>
    <x v="1"/>
    <n v="392957.25"/>
  </r>
  <r>
    <s v="AI Researcher"/>
    <x v="1"/>
    <x v="1"/>
    <x v="3"/>
    <x v="4"/>
    <x v="1"/>
    <n v="4531412"/>
    <n v="3351763"/>
    <x v="1"/>
    <n v="279313.58333333331"/>
  </r>
  <r>
    <s v="Analytics Consultant"/>
    <x v="2"/>
    <x v="0"/>
    <x v="6"/>
    <x v="3"/>
    <x v="2"/>
    <n v="1328245"/>
    <n v="1000675"/>
    <x v="0"/>
    <n v="83389.583333333328"/>
  </r>
  <r>
    <s v="Data Scientist"/>
    <x v="2"/>
    <x v="0"/>
    <x v="1"/>
    <x v="2"/>
    <x v="3"/>
    <n v="1900471"/>
    <n v="1423684"/>
    <x v="2"/>
    <n v="118640.33333333333"/>
  </r>
  <r>
    <s v="Analytics Consultant"/>
    <x v="2"/>
    <x v="1"/>
    <x v="1"/>
    <x v="3"/>
    <x v="0"/>
    <n v="2034776"/>
    <n v="1436197"/>
    <x v="0"/>
    <n v="119683.08333333333"/>
  </r>
  <r>
    <s v="Big Data Engineer"/>
    <x v="0"/>
    <x v="0"/>
    <x v="1"/>
    <x v="0"/>
    <x v="2"/>
    <n v="678973"/>
    <n v="484800"/>
    <x v="2"/>
    <n v="40400"/>
  </r>
  <r>
    <s v="Big Data Engineer"/>
    <x v="0"/>
    <x v="0"/>
    <x v="8"/>
    <x v="6"/>
    <x v="1"/>
    <n v="750945"/>
    <n v="592706"/>
    <x v="2"/>
    <n v="49392.166666666664"/>
  </r>
  <r>
    <s v="Analytics Consultant"/>
    <x v="0"/>
    <x v="0"/>
    <x v="5"/>
    <x v="2"/>
    <x v="2"/>
    <n v="1167909"/>
    <n v="891496"/>
    <x v="0"/>
    <n v="74291.333333333328"/>
  </r>
  <r>
    <s v="AI/ML Engineer"/>
    <x v="2"/>
    <x v="1"/>
    <x v="5"/>
    <x v="2"/>
    <x v="3"/>
    <n v="2545491"/>
    <n v="2026718"/>
    <x v="1"/>
    <n v="168893.16666666666"/>
  </r>
  <r>
    <s v="Data Scientist"/>
    <x v="0"/>
    <x v="1"/>
    <x v="1"/>
    <x v="5"/>
    <x v="3"/>
    <n v="1102569"/>
    <n v="854560"/>
    <x v="2"/>
    <n v="71213.333333333328"/>
  </r>
  <r>
    <s v="Data Scientist"/>
    <x v="2"/>
    <x v="1"/>
    <x v="8"/>
    <x v="3"/>
    <x v="1"/>
    <n v="1772361"/>
    <n v="1356227"/>
    <x v="2"/>
    <n v="113018.91666666667"/>
  </r>
  <r>
    <s v="AI Researcher"/>
    <x v="0"/>
    <x v="1"/>
    <x v="2"/>
    <x v="1"/>
    <x v="3"/>
    <n v="1524388"/>
    <n v="1097418"/>
    <x v="1"/>
    <n v="91451.5"/>
  </r>
  <r>
    <s v="AI Researcher"/>
    <x v="0"/>
    <x v="0"/>
    <x v="5"/>
    <x v="2"/>
    <x v="2"/>
    <n v="1295031"/>
    <n v="1010696"/>
    <x v="1"/>
    <n v="84224.666666666672"/>
  </r>
  <r>
    <s v="Big Data Engineer"/>
    <x v="2"/>
    <x v="1"/>
    <x v="0"/>
    <x v="4"/>
    <x v="2"/>
    <n v="2165246"/>
    <n v="1549907"/>
    <x v="2"/>
    <n v="129158.91666666667"/>
  </r>
  <r>
    <s v="Data Analyst"/>
    <x v="1"/>
    <x v="0"/>
    <x v="6"/>
    <x v="0"/>
    <x v="0"/>
    <n v="3147610"/>
    <n v="2415096"/>
    <x v="0"/>
    <n v="201258"/>
  </r>
  <r>
    <s v="AI/ML Engineer"/>
    <x v="1"/>
    <x v="1"/>
    <x v="7"/>
    <x v="1"/>
    <x v="1"/>
    <n v="4662352"/>
    <n v="3438880"/>
    <x v="1"/>
    <n v="286573.33333333331"/>
  </r>
  <r>
    <s v="AI Researcher"/>
    <x v="1"/>
    <x v="0"/>
    <x v="2"/>
    <x v="1"/>
    <x v="3"/>
    <n v="3749576"/>
    <n v="2685938"/>
    <x v="1"/>
    <n v="223828.16666666666"/>
  </r>
  <r>
    <s v="Analytics Consultant"/>
    <x v="2"/>
    <x v="1"/>
    <x v="0"/>
    <x v="0"/>
    <x v="0"/>
    <n v="1697568"/>
    <n v="1363637"/>
    <x v="0"/>
    <n v="113636.41666666667"/>
  </r>
  <r>
    <s v="Big Data Engineer"/>
    <x v="0"/>
    <x v="0"/>
    <x v="2"/>
    <x v="5"/>
    <x v="0"/>
    <n v="792372"/>
    <n v="576391"/>
    <x v="2"/>
    <n v="48032.583333333336"/>
  </r>
  <r>
    <s v="Analytics Consultant"/>
    <x v="2"/>
    <x v="0"/>
    <x v="6"/>
    <x v="3"/>
    <x v="1"/>
    <n v="1585030"/>
    <n v="1121919"/>
    <x v="0"/>
    <n v="93493.25"/>
  </r>
  <r>
    <s v="AI/ML Engineer"/>
    <x v="2"/>
    <x v="1"/>
    <x v="4"/>
    <x v="0"/>
    <x v="0"/>
    <n v="2898384"/>
    <n v="2248938"/>
    <x v="1"/>
    <n v="187411.5"/>
  </r>
  <r>
    <s v="Data Scientist"/>
    <x v="0"/>
    <x v="0"/>
    <x v="5"/>
    <x v="1"/>
    <x v="2"/>
    <n v="1126853"/>
    <n v="862730"/>
    <x v="2"/>
    <n v="71894.166666666672"/>
  </r>
  <r>
    <s v="Data Scientist"/>
    <x v="1"/>
    <x v="0"/>
    <x v="8"/>
    <x v="5"/>
    <x v="0"/>
    <n v="3047248"/>
    <n v="2250898"/>
    <x v="2"/>
    <n v="187574.83333333334"/>
  </r>
  <r>
    <s v="Data Analyst"/>
    <x v="2"/>
    <x v="0"/>
    <x v="6"/>
    <x v="4"/>
    <x v="0"/>
    <n v="1177606"/>
    <n v="877185"/>
    <x v="0"/>
    <n v="73098.75"/>
  </r>
  <r>
    <s v="AI Researcher"/>
    <x v="0"/>
    <x v="0"/>
    <x v="8"/>
    <x v="4"/>
    <x v="0"/>
    <n v="1306690"/>
    <n v="946507"/>
    <x v="1"/>
    <n v="78875.583333333328"/>
  </r>
  <r>
    <s v="Data Scientist"/>
    <x v="1"/>
    <x v="0"/>
    <x v="8"/>
    <x v="3"/>
    <x v="2"/>
    <n v="3691827"/>
    <n v="2932687"/>
    <x v="2"/>
    <n v="244390.58333333334"/>
  </r>
  <r>
    <s v="Data Scientist"/>
    <x v="2"/>
    <x v="0"/>
    <x v="2"/>
    <x v="5"/>
    <x v="1"/>
    <n v="2029238"/>
    <n v="1486641"/>
    <x v="2"/>
    <n v="123886.75"/>
  </r>
  <r>
    <s v="Data Scientist"/>
    <x v="2"/>
    <x v="1"/>
    <x v="5"/>
    <x v="0"/>
    <x v="2"/>
    <n v="1832120"/>
    <n v="1442566"/>
    <x v="2"/>
    <n v="120213.83333333333"/>
  </r>
  <r>
    <s v="Analytics Consultant"/>
    <x v="2"/>
    <x v="0"/>
    <x v="8"/>
    <x v="2"/>
    <x v="0"/>
    <n v="2152298"/>
    <n v="1559272"/>
    <x v="0"/>
    <n v="129939.33333333333"/>
  </r>
  <r>
    <s v="Data Scientist"/>
    <x v="1"/>
    <x v="1"/>
    <x v="1"/>
    <x v="6"/>
    <x v="0"/>
    <n v="4815065"/>
    <n v="3600016"/>
    <x v="2"/>
    <n v="300001.33333333331"/>
  </r>
  <r>
    <s v="Big Data Engineer"/>
    <x v="0"/>
    <x v="1"/>
    <x v="1"/>
    <x v="3"/>
    <x v="3"/>
    <n v="1120034"/>
    <n v="792547"/>
    <x v="2"/>
    <n v="66045.583333333328"/>
  </r>
  <r>
    <s v="AI/ML Engineer"/>
    <x v="2"/>
    <x v="1"/>
    <x v="8"/>
    <x v="3"/>
    <x v="3"/>
    <n v="2987334"/>
    <n v="2402483"/>
    <x v="1"/>
    <n v="200206.91666666666"/>
  </r>
  <r>
    <s v="Data Scientist"/>
    <x v="1"/>
    <x v="1"/>
    <x v="1"/>
    <x v="0"/>
    <x v="1"/>
    <n v="2718665"/>
    <n v="1930287"/>
    <x v="2"/>
    <n v="160857.25"/>
  </r>
  <r>
    <s v="AI/ML Engineer"/>
    <x v="2"/>
    <x v="1"/>
    <x v="5"/>
    <x v="0"/>
    <x v="2"/>
    <n v="2051621"/>
    <n v="1680394"/>
    <x v="1"/>
    <n v="140032.83333333334"/>
  </r>
  <r>
    <s v="Big Data Engineer"/>
    <x v="1"/>
    <x v="0"/>
    <x v="7"/>
    <x v="1"/>
    <x v="0"/>
    <n v="4475339"/>
    <n v="3284277"/>
    <x v="2"/>
    <n v="273689.75"/>
  </r>
  <r>
    <s v="Analytics Consultant"/>
    <x v="0"/>
    <x v="0"/>
    <x v="6"/>
    <x v="6"/>
    <x v="1"/>
    <n v="938790"/>
    <n v="658382"/>
    <x v="0"/>
    <n v="54865.166666666664"/>
  </r>
  <r>
    <s v="AI Researcher"/>
    <x v="0"/>
    <x v="1"/>
    <x v="2"/>
    <x v="5"/>
    <x v="3"/>
    <n v="1265318"/>
    <n v="1001815"/>
    <x v="1"/>
    <n v="83484.583333333328"/>
  </r>
  <r>
    <s v="AI Researcher"/>
    <x v="1"/>
    <x v="0"/>
    <x v="6"/>
    <x v="1"/>
    <x v="0"/>
    <n v="6752095"/>
    <n v="5249035"/>
    <x v="1"/>
    <n v="437419.58333333331"/>
  </r>
  <r>
    <s v="Big Data Engineer"/>
    <x v="2"/>
    <x v="0"/>
    <x v="2"/>
    <x v="0"/>
    <x v="0"/>
    <n v="1200664"/>
    <n v="938557"/>
    <x v="2"/>
    <n v="78213.083333333328"/>
  </r>
  <r>
    <s v="AI Researcher"/>
    <x v="1"/>
    <x v="0"/>
    <x v="2"/>
    <x v="3"/>
    <x v="3"/>
    <n v="5079223"/>
    <n v="3746800"/>
    <x v="1"/>
    <n v="312233.33333333331"/>
  </r>
  <r>
    <s v="AI/ML Engineer"/>
    <x v="0"/>
    <x v="0"/>
    <x v="1"/>
    <x v="0"/>
    <x v="1"/>
    <n v="790512"/>
    <n v="595475"/>
    <x v="1"/>
    <n v="49622.916666666664"/>
  </r>
  <r>
    <s v="AI Researcher"/>
    <x v="1"/>
    <x v="0"/>
    <x v="7"/>
    <x v="5"/>
    <x v="1"/>
    <n v="3572434"/>
    <n v="2917482"/>
    <x v="1"/>
    <n v="243123.5"/>
  </r>
  <r>
    <s v="Big Data Engineer"/>
    <x v="0"/>
    <x v="0"/>
    <x v="6"/>
    <x v="1"/>
    <x v="3"/>
    <n v="840936"/>
    <n v="609146"/>
    <x v="2"/>
    <n v="50762.166666666664"/>
  </r>
  <r>
    <s v="AI/ML Engineer"/>
    <x v="0"/>
    <x v="0"/>
    <x v="4"/>
    <x v="1"/>
    <x v="1"/>
    <n v="1112767"/>
    <n v="895383"/>
    <x v="1"/>
    <n v="74615.25"/>
  </r>
  <r>
    <s v="Analytics Consultant"/>
    <x v="2"/>
    <x v="0"/>
    <x v="8"/>
    <x v="1"/>
    <x v="0"/>
    <n v="2299976"/>
    <n v="1663389"/>
    <x v="0"/>
    <n v="138615.75"/>
  </r>
  <r>
    <s v="Data Analyst"/>
    <x v="1"/>
    <x v="0"/>
    <x v="6"/>
    <x v="5"/>
    <x v="2"/>
    <n v="3313464"/>
    <n v="2649650"/>
    <x v="0"/>
    <n v="220804.16666666666"/>
  </r>
  <r>
    <s v="Data Scientist"/>
    <x v="0"/>
    <x v="0"/>
    <x v="0"/>
    <x v="4"/>
    <x v="1"/>
    <n v="477137"/>
    <n v="361521"/>
    <x v="2"/>
    <n v="30126.75"/>
  </r>
  <r>
    <s v="Analytics Consultant"/>
    <x v="2"/>
    <x v="0"/>
    <x v="5"/>
    <x v="1"/>
    <x v="1"/>
    <n v="2333567"/>
    <n v="1853247"/>
    <x v="0"/>
    <n v="154437.25"/>
  </r>
  <r>
    <s v="Big Data Engineer"/>
    <x v="1"/>
    <x v="1"/>
    <x v="7"/>
    <x v="6"/>
    <x v="1"/>
    <n v="2779810"/>
    <n v="2094989"/>
    <x v="2"/>
    <n v="174582.41666666666"/>
  </r>
  <r>
    <s v="AI/ML Engineer"/>
    <x v="1"/>
    <x v="0"/>
    <x v="0"/>
    <x v="5"/>
    <x v="1"/>
    <n v="6725501"/>
    <n v="4870455"/>
    <x v="1"/>
    <n v="405871.25"/>
  </r>
  <r>
    <s v="Big Data Engineer"/>
    <x v="0"/>
    <x v="0"/>
    <x v="7"/>
    <x v="2"/>
    <x v="2"/>
    <n v="1019114"/>
    <n v="799633"/>
    <x v="2"/>
    <n v="66636.083333333328"/>
  </r>
  <r>
    <s v="AI Researcher"/>
    <x v="0"/>
    <x v="1"/>
    <x v="2"/>
    <x v="1"/>
    <x v="1"/>
    <n v="855908"/>
    <n v="609572"/>
    <x v="1"/>
    <n v="50797.666666666664"/>
  </r>
  <r>
    <s v="AI Researcher"/>
    <x v="2"/>
    <x v="0"/>
    <x v="4"/>
    <x v="1"/>
    <x v="0"/>
    <n v="1889679"/>
    <n v="1540978"/>
    <x v="1"/>
    <n v="128414.83333333333"/>
  </r>
  <r>
    <s v="Analytics Consultant"/>
    <x v="1"/>
    <x v="1"/>
    <x v="6"/>
    <x v="6"/>
    <x v="2"/>
    <n v="3824069"/>
    <n v="3087737"/>
    <x v="0"/>
    <n v="257311.41666666666"/>
  </r>
  <r>
    <s v="Big Data Engineer"/>
    <x v="2"/>
    <x v="0"/>
    <x v="3"/>
    <x v="4"/>
    <x v="1"/>
    <n v="1967415"/>
    <n v="1435244"/>
    <x v="2"/>
    <n v="119603.66666666667"/>
  </r>
  <r>
    <s v="Data Scientist"/>
    <x v="2"/>
    <x v="0"/>
    <x v="2"/>
    <x v="1"/>
    <x v="3"/>
    <n v="1585125"/>
    <n v="1120815"/>
    <x v="2"/>
    <n v="93401.25"/>
  </r>
  <r>
    <s v="AI/ML Engineer"/>
    <x v="1"/>
    <x v="1"/>
    <x v="8"/>
    <x v="4"/>
    <x v="0"/>
    <n v="3314982"/>
    <n v="2332537"/>
    <x v="1"/>
    <n v="194378.08333333334"/>
  </r>
  <r>
    <s v="AI/ML Engineer"/>
    <x v="0"/>
    <x v="1"/>
    <x v="0"/>
    <x v="4"/>
    <x v="1"/>
    <n v="701349"/>
    <n v="564236"/>
    <x v="1"/>
    <n v="47019.666666666664"/>
  </r>
  <r>
    <s v="Analytics Consultant"/>
    <x v="0"/>
    <x v="0"/>
    <x v="5"/>
    <x v="4"/>
    <x v="1"/>
    <n v="1087687"/>
    <n v="868789"/>
    <x v="0"/>
    <n v="72399.083333333328"/>
  </r>
  <r>
    <s v="Data Analyst"/>
    <x v="2"/>
    <x v="1"/>
    <x v="0"/>
    <x v="5"/>
    <x v="2"/>
    <n v="1415487"/>
    <n v="1119799"/>
    <x v="0"/>
    <n v="93316.583333333328"/>
  </r>
  <r>
    <s v="Data Analyst"/>
    <x v="2"/>
    <x v="1"/>
    <x v="2"/>
    <x v="2"/>
    <x v="1"/>
    <n v="856049"/>
    <n v="652059"/>
    <x v="0"/>
    <n v="54338.25"/>
  </r>
  <r>
    <s v="Data Analyst"/>
    <x v="2"/>
    <x v="0"/>
    <x v="8"/>
    <x v="1"/>
    <x v="2"/>
    <n v="991357"/>
    <n v="791679"/>
    <x v="0"/>
    <n v="65973.25"/>
  </r>
  <r>
    <s v="Big Data Engineer"/>
    <x v="2"/>
    <x v="0"/>
    <x v="3"/>
    <x v="1"/>
    <x v="3"/>
    <n v="2192186"/>
    <n v="1748739"/>
    <x v="2"/>
    <n v="145728.25"/>
  </r>
  <r>
    <s v="AI/ML Engineer"/>
    <x v="2"/>
    <x v="1"/>
    <x v="1"/>
    <x v="4"/>
    <x v="2"/>
    <n v="2116244"/>
    <n v="1693708"/>
    <x v="1"/>
    <n v="141142.33333333334"/>
  </r>
  <r>
    <s v="Big Data Engineer"/>
    <x v="1"/>
    <x v="1"/>
    <x v="5"/>
    <x v="5"/>
    <x v="1"/>
    <n v="3556916"/>
    <n v="2533985"/>
    <x v="2"/>
    <n v="211165.41666666666"/>
  </r>
  <r>
    <s v="AI/ML Engineer"/>
    <x v="2"/>
    <x v="0"/>
    <x v="4"/>
    <x v="3"/>
    <x v="2"/>
    <n v="2912353"/>
    <n v="2302108"/>
    <x v="1"/>
    <n v="191842.33333333334"/>
  </r>
  <r>
    <s v="Analytics Consultant"/>
    <x v="1"/>
    <x v="0"/>
    <x v="7"/>
    <x v="1"/>
    <x v="2"/>
    <n v="3495025"/>
    <n v="2569688"/>
    <x v="0"/>
    <n v="214140.66666666666"/>
  </r>
  <r>
    <s v="AI/ML Engineer"/>
    <x v="1"/>
    <x v="1"/>
    <x v="6"/>
    <x v="5"/>
    <x v="3"/>
    <n v="4034288"/>
    <n v="2884266"/>
    <x v="1"/>
    <n v="240355.5"/>
  </r>
  <r>
    <s v="Data Scientist"/>
    <x v="2"/>
    <x v="1"/>
    <x v="4"/>
    <x v="6"/>
    <x v="3"/>
    <n v="1725138"/>
    <n v="1327682"/>
    <x v="2"/>
    <n v="110640.16666666667"/>
  </r>
  <r>
    <s v="AI Researcher"/>
    <x v="1"/>
    <x v="1"/>
    <x v="4"/>
    <x v="0"/>
    <x v="1"/>
    <n v="5403224"/>
    <n v="4313575"/>
    <x v="1"/>
    <n v="359464.58333333331"/>
  </r>
  <r>
    <s v="AI/ML Engineer"/>
    <x v="1"/>
    <x v="0"/>
    <x v="8"/>
    <x v="5"/>
    <x v="1"/>
    <n v="5433558"/>
    <n v="4130565"/>
    <x v="1"/>
    <n v="344213.75"/>
  </r>
  <r>
    <s v="Data Analyst"/>
    <x v="2"/>
    <x v="1"/>
    <x v="8"/>
    <x v="2"/>
    <x v="0"/>
    <n v="1464872"/>
    <n v="1140824"/>
    <x v="0"/>
    <n v="95068.666666666672"/>
  </r>
  <r>
    <s v="Data Analyst"/>
    <x v="1"/>
    <x v="0"/>
    <x v="1"/>
    <x v="5"/>
    <x v="1"/>
    <n v="2494446"/>
    <n v="1897082"/>
    <x v="0"/>
    <n v="158090.16666666666"/>
  </r>
  <r>
    <s v="Data Analyst"/>
    <x v="2"/>
    <x v="0"/>
    <x v="7"/>
    <x v="4"/>
    <x v="0"/>
    <n v="1737584"/>
    <n v="1388293"/>
    <x v="0"/>
    <n v="115691.08333333333"/>
  </r>
  <r>
    <s v="Data Analyst"/>
    <x v="2"/>
    <x v="0"/>
    <x v="3"/>
    <x v="3"/>
    <x v="0"/>
    <n v="973495"/>
    <n v="687818"/>
    <x v="0"/>
    <n v="57318.166666666664"/>
  </r>
  <r>
    <s v="AI/ML Engineer"/>
    <x v="2"/>
    <x v="1"/>
    <x v="7"/>
    <x v="3"/>
    <x v="1"/>
    <n v="1926087"/>
    <n v="1376869"/>
    <x v="1"/>
    <n v="114739.08333333333"/>
  </r>
  <r>
    <s v="AI Researcher"/>
    <x v="1"/>
    <x v="0"/>
    <x v="6"/>
    <x v="6"/>
    <x v="2"/>
    <n v="3863418"/>
    <n v="3020670"/>
    <x v="1"/>
    <n v="251722.5"/>
  </r>
  <r>
    <s v="Big Data Engineer"/>
    <x v="2"/>
    <x v="0"/>
    <x v="7"/>
    <x v="1"/>
    <x v="2"/>
    <n v="2006735"/>
    <n v="1550118"/>
    <x v="2"/>
    <n v="129176.5"/>
  </r>
  <r>
    <s v="Data Scientist"/>
    <x v="2"/>
    <x v="0"/>
    <x v="0"/>
    <x v="0"/>
    <x v="3"/>
    <n v="1283266"/>
    <n v="1010669"/>
    <x v="2"/>
    <n v="84222.416666666672"/>
  </r>
  <r>
    <s v="Data Analyst"/>
    <x v="0"/>
    <x v="0"/>
    <x v="7"/>
    <x v="1"/>
    <x v="2"/>
    <n v="422876"/>
    <n v="316842"/>
    <x v="0"/>
    <n v="26403.5"/>
  </r>
  <r>
    <s v="Analytics Consultant"/>
    <x v="0"/>
    <x v="1"/>
    <x v="1"/>
    <x v="5"/>
    <x v="3"/>
    <n v="1152236"/>
    <n v="934314"/>
    <x v="0"/>
    <n v="77859.5"/>
  </r>
  <r>
    <s v="AI Researcher"/>
    <x v="1"/>
    <x v="0"/>
    <x v="3"/>
    <x v="5"/>
    <x v="3"/>
    <n v="4475345"/>
    <n v="3622330"/>
    <x v="1"/>
    <n v="301860.83333333331"/>
  </r>
  <r>
    <s v="Analytics Consultant"/>
    <x v="1"/>
    <x v="1"/>
    <x v="1"/>
    <x v="1"/>
    <x v="2"/>
    <n v="3460452"/>
    <n v="2478575"/>
    <x v="0"/>
    <n v="206547.91666666666"/>
  </r>
  <r>
    <s v="AI/ML Engineer"/>
    <x v="0"/>
    <x v="1"/>
    <x v="6"/>
    <x v="1"/>
    <x v="0"/>
    <n v="769420"/>
    <n v="598861"/>
    <x v="1"/>
    <n v="49905.083333333336"/>
  </r>
  <r>
    <s v="AI/ML Engineer"/>
    <x v="0"/>
    <x v="1"/>
    <x v="5"/>
    <x v="2"/>
    <x v="2"/>
    <n v="844638"/>
    <n v="666628"/>
    <x v="1"/>
    <n v="55552.333333333336"/>
  </r>
  <r>
    <s v="Data Analyst"/>
    <x v="1"/>
    <x v="0"/>
    <x v="5"/>
    <x v="6"/>
    <x v="2"/>
    <n v="2607250"/>
    <n v="1998029"/>
    <x v="0"/>
    <n v="166502.41666666666"/>
  </r>
  <r>
    <s v="Analytics Consultant"/>
    <x v="1"/>
    <x v="0"/>
    <x v="2"/>
    <x v="5"/>
    <x v="3"/>
    <n v="4058496"/>
    <n v="3032126"/>
    <x v="0"/>
    <n v="252677.16666666666"/>
  </r>
  <r>
    <s v="Big Data Engineer"/>
    <x v="0"/>
    <x v="0"/>
    <x v="0"/>
    <x v="0"/>
    <x v="0"/>
    <n v="1005208"/>
    <n v="757105"/>
    <x v="2"/>
    <n v="63092.083333333336"/>
  </r>
  <r>
    <s v="AI/ML Engineer"/>
    <x v="0"/>
    <x v="0"/>
    <x v="3"/>
    <x v="5"/>
    <x v="1"/>
    <n v="841566"/>
    <n v="636619"/>
    <x v="1"/>
    <n v="53051.583333333336"/>
  </r>
  <r>
    <s v="Data Scientist"/>
    <x v="1"/>
    <x v="1"/>
    <x v="7"/>
    <x v="5"/>
    <x v="0"/>
    <n v="2883757"/>
    <n v="2196113"/>
    <x v="2"/>
    <n v="183009.41666666666"/>
  </r>
  <r>
    <s v="AI/ML Engineer"/>
    <x v="2"/>
    <x v="0"/>
    <x v="1"/>
    <x v="6"/>
    <x v="3"/>
    <n v="1708781"/>
    <n v="1294751"/>
    <x v="1"/>
    <n v="107895.91666666667"/>
  </r>
  <r>
    <s v="Data Analyst"/>
    <x v="1"/>
    <x v="0"/>
    <x v="6"/>
    <x v="2"/>
    <x v="3"/>
    <n v="2250858"/>
    <n v="1622185"/>
    <x v="0"/>
    <n v="135182.08333333334"/>
  </r>
  <r>
    <s v="Big Data Engineer"/>
    <x v="1"/>
    <x v="1"/>
    <x v="0"/>
    <x v="6"/>
    <x v="0"/>
    <n v="4991445"/>
    <n v="3929669"/>
    <x v="2"/>
    <n v="327472.41666666669"/>
  </r>
  <r>
    <s v="Data Scientist"/>
    <x v="0"/>
    <x v="1"/>
    <x v="0"/>
    <x v="3"/>
    <x v="0"/>
    <n v="557899"/>
    <n v="394356"/>
    <x v="2"/>
    <n v="32863"/>
  </r>
  <r>
    <s v="Big Data Engineer"/>
    <x v="2"/>
    <x v="0"/>
    <x v="7"/>
    <x v="4"/>
    <x v="3"/>
    <n v="1844337"/>
    <n v="1331809"/>
    <x v="2"/>
    <n v="110984.08333333333"/>
  </r>
  <r>
    <s v="Big Data Engineer"/>
    <x v="0"/>
    <x v="0"/>
    <x v="8"/>
    <x v="5"/>
    <x v="2"/>
    <n v="725494"/>
    <n v="528685"/>
    <x v="2"/>
    <n v="44057.083333333336"/>
  </r>
  <r>
    <s v="AI/ML Engineer"/>
    <x v="2"/>
    <x v="1"/>
    <x v="5"/>
    <x v="4"/>
    <x v="1"/>
    <n v="1509755"/>
    <n v="1179645"/>
    <x v="1"/>
    <n v="98303.75"/>
  </r>
  <r>
    <s v="AI/ML Engineer"/>
    <x v="1"/>
    <x v="0"/>
    <x v="2"/>
    <x v="6"/>
    <x v="1"/>
    <n v="4844086"/>
    <n v="3889512"/>
    <x v="1"/>
    <n v="324126"/>
  </r>
  <r>
    <s v="Big Data Engineer"/>
    <x v="1"/>
    <x v="1"/>
    <x v="4"/>
    <x v="2"/>
    <x v="2"/>
    <n v="5128000"/>
    <n v="3823753"/>
    <x v="2"/>
    <n v="318646.08333333331"/>
  </r>
  <r>
    <s v="Data Analyst"/>
    <x v="1"/>
    <x v="0"/>
    <x v="7"/>
    <x v="2"/>
    <x v="2"/>
    <n v="2723049"/>
    <n v="2132646"/>
    <x v="0"/>
    <n v="177720.5"/>
  </r>
  <r>
    <s v="Analytics Consultant"/>
    <x v="0"/>
    <x v="0"/>
    <x v="0"/>
    <x v="1"/>
    <x v="1"/>
    <n v="852600"/>
    <n v="615605"/>
    <x v="0"/>
    <n v="51300.416666666664"/>
  </r>
  <r>
    <s v="Data Analyst"/>
    <x v="0"/>
    <x v="1"/>
    <x v="4"/>
    <x v="5"/>
    <x v="2"/>
    <n v="594099"/>
    <n v="424237"/>
    <x v="0"/>
    <n v="35353.083333333336"/>
  </r>
  <r>
    <s v="Data Analyst"/>
    <x v="1"/>
    <x v="0"/>
    <x v="0"/>
    <x v="6"/>
    <x v="3"/>
    <n v="3239708"/>
    <n v="2343108"/>
    <x v="0"/>
    <n v="195259"/>
  </r>
  <r>
    <s v="Big Data Engineer"/>
    <x v="1"/>
    <x v="1"/>
    <x v="3"/>
    <x v="1"/>
    <x v="0"/>
    <n v="4517790"/>
    <n v="3278595"/>
    <x v="2"/>
    <n v="273216.25"/>
  </r>
  <r>
    <s v="Data Analyst"/>
    <x v="2"/>
    <x v="0"/>
    <x v="1"/>
    <x v="1"/>
    <x v="1"/>
    <n v="1314124"/>
    <n v="1069865"/>
    <x v="0"/>
    <n v="89155.416666666672"/>
  </r>
  <r>
    <s v="Analytics Consultant"/>
    <x v="1"/>
    <x v="0"/>
    <x v="5"/>
    <x v="2"/>
    <x v="2"/>
    <n v="3949230"/>
    <n v="2832990"/>
    <x v="0"/>
    <n v="236082.5"/>
  </r>
  <r>
    <s v="Big Data Engineer"/>
    <x v="2"/>
    <x v="1"/>
    <x v="3"/>
    <x v="2"/>
    <x v="3"/>
    <n v="1447039"/>
    <n v="1025871"/>
    <x v="2"/>
    <n v="85489.25"/>
  </r>
  <r>
    <s v="Analytics Consultant"/>
    <x v="2"/>
    <x v="1"/>
    <x v="0"/>
    <x v="3"/>
    <x v="1"/>
    <n v="1518949"/>
    <n v="1127089"/>
    <x v="0"/>
    <n v="93924.083333333328"/>
  </r>
  <r>
    <s v="Analytics Consultant"/>
    <x v="0"/>
    <x v="0"/>
    <x v="0"/>
    <x v="3"/>
    <x v="3"/>
    <n v="1127204"/>
    <n v="919231"/>
    <x v="0"/>
    <n v="76602.583333333328"/>
  </r>
  <r>
    <s v="Analytics Consultant"/>
    <x v="0"/>
    <x v="0"/>
    <x v="0"/>
    <x v="3"/>
    <x v="0"/>
    <n v="1045413"/>
    <n v="833652"/>
    <x v="0"/>
    <n v="69471"/>
  </r>
  <r>
    <s v="AI Researcher"/>
    <x v="1"/>
    <x v="0"/>
    <x v="8"/>
    <x v="0"/>
    <x v="3"/>
    <n v="3645965"/>
    <n v="2603935"/>
    <x v="1"/>
    <n v="216994.58333333334"/>
  </r>
  <r>
    <s v="Data Scientist"/>
    <x v="0"/>
    <x v="1"/>
    <x v="5"/>
    <x v="5"/>
    <x v="3"/>
    <n v="984332"/>
    <n v="803747"/>
    <x v="2"/>
    <n v="66978.916666666672"/>
  </r>
  <r>
    <s v="Big Data Engineer"/>
    <x v="2"/>
    <x v="1"/>
    <x v="4"/>
    <x v="1"/>
    <x v="3"/>
    <n v="2324519"/>
    <n v="1821727"/>
    <x v="2"/>
    <n v="151810.58333333334"/>
  </r>
  <r>
    <s v="Data Scientist"/>
    <x v="0"/>
    <x v="1"/>
    <x v="4"/>
    <x v="6"/>
    <x v="2"/>
    <n v="1068706"/>
    <n v="810736"/>
    <x v="2"/>
    <n v="67561.333333333328"/>
  </r>
  <r>
    <s v="AI Researcher"/>
    <x v="2"/>
    <x v="0"/>
    <x v="0"/>
    <x v="5"/>
    <x v="2"/>
    <n v="2803917"/>
    <n v="2047851"/>
    <x v="1"/>
    <n v="170654.25"/>
  </r>
  <r>
    <s v="Analytics Consultant"/>
    <x v="2"/>
    <x v="1"/>
    <x v="2"/>
    <x v="2"/>
    <x v="0"/>
    <n v="1501152"/>
    <n v="1215787"/>
    <x v="0"/>
    <n v="101315.58333333333"/>
  </r>
  <r>
    <s v="Analytics Consultant"/>
    <x v="1"/>
    <x v="0"/>
    <x v="6"/>
    <x v="6"/>
    <x v="1"/>
    <n v="2553392"/>
    <n v="1935458"/>
    <x v="0"/>
    <n v="161288.16666666666"/>
  </r>
  <r>
    <s v="Big Data Engineer"/>
    <x v="0"/>
    <x v="0"/>
    <x v="5"/>
    <x v="6"/>
    <x v="0"/>
    <n v="646508"/>
    <n v="468507"/>
    <x v="2"/>
    <n v="39042.25"/>
  </r>
  <r>
    <s v="Data Scientist"/>
    <x v="1"/>
    <x v="1"/>
    <x v="0"/>
    <x v="0"/>
    <x v="1"/>
    <n v="4900289"/>
    <n v="3720213"/>
    <x v="2"/>
    <n v="310017.75"/>
  </r>
  <r>
    <s v="Big Data Engineer"/>
    <x v="1"/>
    <x v="0"/>
    <x v="4"/>
    <x v="2"/>
    <x v="1"/>
    <n v="4404784"/>
    <n v="3139792"/>
    <x v="2"/>
    <n v="261649.33333333334"/>
  </r>
  <r>
    <s v="Analytics Consultant"/>
    <x v="1"/>
    <x v="1"/>
    <x v="7"/>
    <x v="5"/>
    <x v="3"/>
    <n v="2851484"/>
    <n v="2104326"/>
    <x v="0"/>
    <n v="175360.5"/>
  </r>
  <r>
    <s v="AI/ML Engineer"/>
    <x v="2"/>
    <x v="0"/>
    <x v="0"/>
    <x v="1"/>
    <x v="0"/>
    <n v="2068722"/>
    <n v="1541198"/>
    <x v="1"/>
    <n v="128433.16666666667"/>
  </r>
  <r>
    <s v="Big Data Engineer"/>
    <x v="2"/>
    <x v="1"/>
    <x v="2"/>
    <x v="0"/>
    <x v="2"/>
    <n v="1215248"/>
    <n v="920421"/>
    <x v="2"/>
    <n v="76701.75"/>
  </r>
  <r>
    <s v="AI Researcher"/>
    <x v="0"/>
    <x v="1"/>
    <x v="5"/>
    <x v="4"/>
    <x v="0"/>
    <n v="1242945"/>
    <n v="945648"/>
    <x v="1"/>
    <n v="78804"/>
  </r>
  <r>
    <s v="Analytics Consultant"/>
    <x v="2"/>
    <x v="1"/>
    <x v="3"/>
    <x v="4"/>
    <x v="2"/>
    <n v="2292616"/>
    <n v="1661136"/>
    <x v="0"/>
    <n v="138428"/>
  </r>
  <r>
    <s v="Analytics Consultant"/>
    <x v="2"/>
    <x v="0"/>
    <x v="8"/>
    <x v="6"/>
    <x v="0"/>
    <n v="1523887"/>
    <n v="1151461"/>
    <x v="0"/>
    <n v="95955.083333333328"/>
  </r>
  <r>
    <s v="Big Data Engineer"/>
    <x v="2"/>
    <x v="1"/>
    <x v="1"/>
    <x v="3"/>
    <x v="3"/>
    <n v="2435812"/>
    <n v="1917269"/>
    <x v="2"/>
    <n v="159772.41666666666"/>
  </r>
  <r>
    <s v="Data Analyst"/>
    <x v="0"/>
    <x v="0"/>
    <x v="4"/>
    <x v="5"/>
    <x v="0"/>
    <n v="365101"/>
    <n v="286101"/>
    <x v="0"/>
    <n v="23841.75"/>
  </r>
  <r>
    <s v="Big Data Engineer"/>
    <x v="0"/>
    <x v="0"/>
    <x v="1"/>
    <x v="6"/>
    <x v="2"/>
    <n v="649496"/>
    <n v="470968"/>
    <x v="2"/>
    <n v="39247.333333333336"/>
  </r>
  <r>
    <s v="Big Data Engineer"/>
    <x v="0"/>
    <x v="1"/>
    <x v="6"/>
    <x v="3"/>
    <x v="1"/>
    <n v="725294"/>
    <n v="509068"/>
    <x v="2"/>
    <n v="42422.333333333336"/>
  </r>
  <r>
    <s v="Data Scientist"/>
    <x v="0"/>
    <x v="1"/>
    <x v="2"/>
    <x v="6"/>
    <x v="3"/>
    <n v="677418"/>
    <n v="506796"/>
    <x v="2"/>
    <n v="42233"/>
  </r>
  <r>
    <s v="Analytics Consultant"/>
    <x v="0"/>
    <x v="1"/>
    <x v="5"/>
    <x v="3"/>
    <x v="3"/>
    <n v="693799"/>
    <n v="525134"/>
    <x v="0"/>
    <n v="43761.166666666664"/>
  </r>
  <r>
    <s v="AI/ML Engineer"/>
    <x v="1"/>
    <x v="1"/>
    <x v="6"/>
    <x v="2"/>
    <x v="1"/>
    <n v="5345140"/>
    <n v="4000115"/>
    <x v="1"/>
    <n v="333342.91666666669"/>
  </r>
  <r>
    <s v="Big Data Engineer"/>
    <x v="2"/>
    <x v="1"/>
    <x v="8"/>
    <x v="4"/>
    <x v="2"/>
    <n v="1873468"/>
    <n v="1513452"/>
    <x v="2"/>
    <n v="126121"/>
  </r>
  <r>
    <s v="AI Researcher"/>
    <x v="2"/>
    <x v="0"/>
    <x v="5"/>
    <x v="5"/>
    <x v="0"/>
    <n v="2684871"/>
    <n v="1978606"/>
    <x v="1"/>
    <n v="164883.83333333334"/>
  </r>
  <r>
    <s v="Data Scientist"/>
    <x v="0"/>
    <x v="0"/>
    <x v="6"/>
    <x v="4"/>
    <x v="3"/>
    <n v="1077411"/>
    <n v="762120"/>
    <x v="2"/>
    <n v="63510"/>
  </r>
  <r>
    <s v="Data Analyst"/>
    <x v="2"/>
    <x v="1"/>
    <x v="4"/>
    <x v="6"/>
    <x v="0"/>
    <n v="1247556"/>
    <n v="904934"/>
    <x v="0"/>
    <n v="75411.166666666672"/>
  </r>
  <r>
    <s v="AI/ML Engineer"/>
    <x v="0"/>
    <x v="0"/>
    <x v="8"/>
    <x v="4"/>
    <x v="1"/>
    <n v="884031"/>
    <n v="698178"/>
    <x v="1"/>
    <n v="58181.5"/>
  </r>
  <r>
    <s v="Big Data Engineer"/>
    <x v="2"/>
    <x v="1"/>
    <x v="1"/>
    <x v="3"/>
    <x v="0"/>
    <n v="2253887"/>
    <n v="1616524"/>
    <x v="2"/>
    <n v="134710.33333333334"/>
  </r>
  <r>
    <s v="Data Scientist"/>
    <x v="1"/>
    <x v="0"/>
    <x v="1"/>
    <x v="2"/>
    <x v="0"/>
    <n v="4487448"/>
    <n v="3279379"/>
    <x v="2"/>
    <n v="273281.58333333331"/>
  </r>
  <r>
    <s v="AI Researcher"/>
    <x v="1"/>
    <x v="0"/>
    <x v="2"/>
    <x v="1"/>
    <x v="3"/>
    <n v="4121415"/>
    <n v="3028030"/>
    <x v="1"/>
    <n v="252335.83333333334"/>
  </r>
  <r>
    <s v="Data Analyst"/>
    <x v="2"/>
    <x v="0"/>
    <x v="5"/>
    <x v="0"/>
    <x v="0"/>
    <n v="907747"/>
    <n v="650041"/>
    <x v="0"/>
    <n v="54170.083333333336"/>
  </r>
  <r>
    <s v="Big Data Engineer"/>
    <x v="2"/>
    <x v="0"/>
    <x v="0"/>
    <x v="1"/>
    <x v="3"/>
    <n v="1783282"/>
    <n v="1439684"/>
    <x v="2"/>
    <n v="119973.66666666667"/>
  </r>
  <r>
    <s v="Data Analyst"/>
    <x v="0"/>
    <x v="0"/>
    <x v="5"/>
    <x v="3"/>
    <x v="2"/>
    <n v="486367"/>
    <n v="380217"/>
    <x v="0"/>
    <n v="31684.75"/>
  </r>
  <r>
    <s v="Analytics Consultant"/>
    <x v="1"/>
    <x v="1"/>
    <x v="1"/>
    <x v="6"/>
    <x v="0"/>
    <n v="4848211"/>
    <n v="3949873"/>
    <x v="0"/>
    <n v="329156.08333333331"/>
  </r>
  <r>
    <s v="Data Scientist"/>
    <x v="0"/>
    <x v="0"/>
    <x v="3"/>
    <x v="0"/>
    <x v="0"/>
    <n v="956006"/>
    <n v="678873"/>
    <x v="2"/>
    <n v="56572.75"/>
  </r>
  <r>
    <s v="Analytics Consultant"/>
    <x v="0"/>
    <x v="0"/>
    <x v="7"/>
    <x v="3"/>
    <x v="0"/>
    <n v="964103"/>
    <n v="760086"/>
    <x v="0"/>
    <n v="63340.5"/>
  </r>
  <r>
    <s v="Big Data Engineer"/>
    <x v="1"/>
    <x v="0"/>
    <x v="1"/>
    <x v="6"/>
    <x v="3"/>
    <n v="3019532"/>
    <n v="2401786"/>
    <x v="2"/>
    <n v="200148.83333333334"/>
  </r>
  <r>
    <s v="AI/ML Engineer"/>
    <x v="2"/>
    <x v="1"/>
    <x v="6"/>
    <x v="6"/>
    <x v="0"/>
    <n v="2433444"/>
    <n v="1740136"/>
    <x v="1"/>
    <n v="145011.33333333334"/>
  </r>
  <r>
    <s v="AI Researcher"/>
    <x v="1"/>
    <x v="0"/>
    <x v="1"/>
    <x v="0"/>
    <x v="2"/>
    <n v="3996321"/>
    <n v="3064740"/>
    <x v="1"/>
    <n v="255395"/>
  </r>
  <r>
    <s v="AI Researcher"/>
    <x v="2"/>
    <x v="0"/>
    <x v="8"/>
    <x v="5"/>
    <x v="1"/>
    <n v="2227394"/>
    <n v="1748832"/>
    <x v="1"/>
    <n v="145736"/>
  </r>
  <r>
    <s v="Data Analyst"/>
    <x v="0"/>
    <x v="1"/>
    <x v="6"/>
    <x v="6"/>
    <x v="0"/>
    <n v="733383"/>
    <n v="533804"/>
    <x v="0"/>
    <n v="44483.666666666664"/>
  </r>
  <r>
    <s v="AI/ML Engineer"/>
    <x v="0"/>
    <x v="1"/>
    <x v="6"/>
    <x v="3"/>
    <x v="2"/>
    <n v="675724"/>
    <n v="514468"/>
    <x v="1"/>
    <n v="42872.333333333336"/>
  </r>
  <r>
    <s v="AI Researcher"/>
    <x v="1"/>
    <x v="0"/>
    <x v="1"/>
    <x v="6"/>
    <x v="3"/>
    <n v="4346134"/>
    <n v="3218576"/>
    <x v="1"/>
    <n v="268214.66666666669"/>
  </r>
  <r>
    <s v="AI/ML Engineer"/>
    <x v="1"/>
    <x v="0"/>
    <x v="3"/>
    <x v="3"/>
    <x v="2"/>
    <n v="4201520"/>
    <n v="2989194"/>
    <x v="1"/>
    <n v="249099.5"/>
  </r>
  <r>
    <s v="AI/ML Engineer"/>
    <x v="0"/>
    <x v="0"/>
    <x v="0"/>
    <x v="3"/>
    <x v="2"/>
    <n v="1486260"/>
    <n v="1123923"/>
    <x v="1"/>
    <n v="93660.25"/>
  </r>
  <r>
    <s v="Data Analyst"/>
    <x v="2"/>
    <x v="0"/>
    <x v="4"/>
    <x v="1"/>
    <x v="2"/>
    <n v="1236779"/>
    <n v="931743"/>
    <x v="0"/>
    <n v="77645.25"/>
  </r>
  <r>
    <s v="Big Data Engineer"/>
    <x v="2"/>
    <x v="1"/>
    <x v="0"/>
    <x v="3"/>
    <x v="0"/>
    <n v="1356237"/>
    <n v="1039215"/>
    <x v="2"/>
    <n v="86601.25"/>
  </r>
  <r>
    <s v="AI/ML Engineer"/>
    <x v="0"/>
    <x v="0"/>
    <x v="2"/>
    <x v="6"/>
    <x v="3"/>
    <n v="1451772"/>
    <n v="1161878"/>
    <x v="1"/>
    <n v="96823.166666666672"/>
  </r>
  <r>
    <s v="Analytics Consultant"/>
    <x v="2"/>
    <x v="1"/>
    <x v="2"/>
    <x v="3"/>
    <x v="3"/>
    <n v="2284927"/>
    <n v="1818640"/>
    <x v="0"/>
    <n v="151553.33333333334"/>
  </r>
  <r>
    <s v="AI/ML Engineer"/>
    <x v="0"/>
    <x v="1"/>
    <x v="7"/>
    <x v="0"/>
    <x v="3"/>
    <n v="626680"/>
    <n v="463245"/>
    <x v="1"/>
    <n v="38603.75"/>
  </r>
  <r>
    <s v="AI Researcher"/>
    <x v="0"/>
    <x v="1"/>
    <x v="7"/>
    <x v="1"/>
    <x v="3"/>
    <n v="1463037"/>
    <n v="1140186"/>
    <x v="1"/>
    <n v="95015.5"/>
  </r>
  <r>
    <s v="Analytics Consultant"/>
    <x v="0"/>
    <x v="0"/>
    <x v="0"/>
    <x v="5"/>
    <x v="3"/>
    <n v="877625"/>
    <n v="703740"/>
    <x v="0"/>
    <n v="58645"/>
  </r>
  <r>
    <s v="Big Data Engineer"/>
    <x v="1"/>
    <x v="0"/>
    <x v="1"/>
    <x v="0"/>
    <x v="3"/>
    <n v="4773985"/>
    <n v="3877867"/>
    <x v="2"/>
    <n v="323155.58333333331"/>
  </r>
  <r>
    <s v="Analytics Consultant"/>
    <x v="1"/>
    <x v="1"/>
    <x v="1"/>
    <x v="5"/>
    <x v="3"/>
    <n v="3105733"/>
    <n v="2482896"/>
    <x v="0"/>
    <n v="206908"/>
  </r>
  <r>
    <s v="Big Data Engineer"/>
    <x v="2"/>
    <x v="1"/>
    <x v="4"/>
    <x v="6"/>
    <x v="3"/>
    <n v="1405501"/>
    <n v="1130497"/>
    <x v="2"/>
    <n v="94208.083333333328"/>
  </r>
  <r>
    <s v="Data Analyst"/>
    <x v="0"/>
    <x v="0"/>
    <x v="3"/>
    <x v="6"/>
    <x v="0"/>
    <n v="417495"/>
    <n v="316814"/>
    <x v="0"/>
    <n v="26401.166666666668"/>
  </r>
  <r>
    <s v="Data Analyst"/>
    <x v="2"/>
    <x v="1"/>
    <x v="3"/>
    <x v="1"/>
    <x v="2"/>
    <n v="1413139"/>
    <n v="1011357"/>
    <x v="0"/>
    <n v="84279.75"/>
  </r>
  <r>
    <s v="Data Scientist"/>
    <x v="2"/>
    <x v="1"/>
    <x v="6"/>
    <x v="6"/>
    <x v="0"/>
    <n v="2408896"/>
    <n v="1843620"/>
    <x v="2"/>
    <n v="153635"/>
  </r>
  <r>
    <s v="AI/ML Engineer"/>
    <x v="2"/>
    <x v="0"/>
    <x v="0"/>
    <x v="2"/>
    <x v="1"/>
    <n v="2360711"/>
    <n v="1853266"/>
    <x v="1"/>
    <n v="154438.83333333334"/>
  </r>
  <r>
    <s v="AI Researcher"/>
    <x v="0"/>
    <x v="0"/>
    <x v="3"/>
    <x v="0"/>
    <x v="2"/>
    <n v="967068"/>
    <n v="733938"/>
    <x v="1"/>
    <n v="61161.5"/>
  </r>
  <r>
    <s v="AI/ML Engineer"/>
    <x v="0"/>
    <x v="0"/>
    <x v="0"/>
    <x v="1"/>
    <x v="0"/>
    <n v="757851"/>
    <n v="602850"/>
    <x v="1"/>
    <n v="50237.5"/>
  </r>
  <r>
    <s v="AI/ML Engineer"/>
    <x v="1"/>
    <x v="0"/>
    <x v="3"/>
    <x v="5"/>
    <x v="3"/>
    <n v="5355466"/>
    <n v="3787891"/>
    <x v="1"/>
    <n v="315657.58333333331"/>
  </r>
  <r>
    <s v="AI Researcher"/>
    <x v="2"/>
    <x v="0"/>
    <x v="6"/>
    <x v="1"/>
    <x v="1"/>
    <n v="2664834"/>
    <n v="2077122"/>
    <x v="1"/>
    <n v="173093.5"/>
  </r>
  <r>
    <s v="Data Scientist"/>
    <x v="1"/>
    <x v="1"/>
    <x v="3"/>
    <x v="4"/>
    <x v="3"/>
    <n v="2792853"/>
    <n v="2064765"/>
    <x v="2"/>
    <n v="172063.75"/>
  </r>
  <r>
    <s v="AI/ML Engineer"/>
    <x v="0"/>
    <x v="0"/>
    <x v="4"/>
    <x v="5"/>
    <x v="0"/>
    <n v="764873"/>
    <n v="619942"/>
    <x v="1"/>
    <n v="51661.833333333336"/>
  </r>
  <r>
    <s v="Data Scientist"/>
    <x v="1"/>
    <x v="0"/>
    <x v="6"/>
    <x v="2"/>
    <x v="3"/>
    <n v="4042839"/>
    <n v="2869471"/>
    <x v="2"/>
    <n v="239122.58333333334"/>
  </r>
  <r>
    <s v="AI/ML Engineer"/>
    <x v="0"/>
    <x v="0"/>
    <x v="8"/>
    <x v="4"/>
    <x v="3"/>
    <n v="1060481"/>
    <n v="744468"/>
    <x v="1"/>
    <n v="62039"/>
  </r>
  <r>
    <s v="AI/ML Engineer"/>
    <x v="0"/>
    <x v="1"/>
    <x v="8"/>
    <x v="6"/>
    <x v="0"/>
    <n v="1475793"/>
    <n v="1091178"/>
    <x v="1"/>
    <n v="90931.5"/>
  </r>
  <r>
    <s v="AI Researcher"/>
    <x v="0"/>
    <x v="1"/>
    <x v="3"/>
    <x v="5"/>
    <x v="1"/>
    <n v="1316351"/>
    <n v="961117"/>
    <x v="1"/>
    <n v="80093.083333333328"/>
  </r>
  <r>
    <s v="Big Data Engineer"/>
    <x v="1"/>
    <x v="1"/>
    <x v="5"/>
    <x v="0"/>
    <x v="2"/>
    <n v="4331821"/>
    <n v="3453034"/>
    <x v="2"/>
    <n v="287752.83333333331"/>
  </r>
  <r>
    <s v="Analytics Consultant"/>
    <x v="1"/>
    <x v="0"/>
    <x v="6"/>
    <x v="2"/>
    <x v="2"/>
    <n v="3907569"/>
    <n v="3016770"/>
    <x v="0"/>
    <n v="251397.5"/>
  </r>
  <r>
    <s v="Analytics Consultant"/>
    <x v="2"/>
    <x v="0"/>
    <x v="5"/>
    <x v="0"/>
    <x v="2"/>
    <n v="2227526"/>
    <n v="1738167"/>
    <x v="0"/>
    <n v="144847.25"/>
  </r>
  <r>
    <s v="Data Analyst"/>
    <x v="1"/>
    <x v="1"/>
    <x v="1"/>
    <x v="0"/>
    <x v="3"/>
    <n v="3497403"/>
    <n v="2666189"/>
    <x v="0"/>
    <n v="222182.41666666666"/>
  </r>
  <r>
    <s v="AI Researcher"/>
    <x v="1"/>
    <x v="1"/>
    <x v="2"/>
    <x v="3"/>
    <x v="3"/>
    <n v="3661978"/>
    <n v="2843374"/>
    <x v="1"/>
    <n v="236947.83333333334"/>
  </r>
  <r>
    <s v="AI/ML Engineer"/>
    <x v="2"/>
    <x v="1"/>
    <x v="6"/>
    <x v="0"/>
    <x v="3"/>
    <n v="2655435"/>
    <n v="2082897"/>
    <x v="1"/>
    <n v="173574.75"/>
  </r>
  <r>
    <s v="AI Researcher"/>
    <x v="1"/>
    <x v="0"/>
    <x v="1"/>
    <x v="2"/>
    <x v="3"/>
    <n v="4988193"/>
    <n v="3897196"/>
    <x v="1"/>
    <n v="324766.33333333331"/>
  </r>
  <r>
    <s v="AI/ML Engineer"/>
    <x v="1"/>
    <x v="1"/>
    <x v="5"/>
    <x v="6"/>
    <x v="0"/>
    <n v="6482061"/>
    <n v="4655169"/>
    <x v="1"/>
    <n v="387930.75"/>
  </r>
  <r>
    <s v="AI/ML Engineer"/>
    <x v="2"/>
    <x v="0"/>
    <x v="4"/>
    <x v="2"/>
    <x v="0"/>
    <n v="1583464"/>
    <n v="1167790"/>
    <x v="1"/>
    <n v="97315.833333333328"/>
  </r>
  <r>
    <s v="Data Analyst"/>
    <x v="1"/>
    <x v="0"/>
    <x v="7"/>
    <x v="6"/>
    <x v="3"/>
    <n v="3076837"/>
    <n v="2412296"/>
    <x v="0"/>
    <n v="201024.66666666666"/>
  </r>
  <r>
    <s v="Analytics Consultant"/>
    <x v="2"/>
    <x v="0"/>
    <x v="4"/>
    <x v="0"/>
    <x v="0"/>
    <n v="2487171"/>
    <n v="2011456"/>
    <x v="0"/>
    <n v="167621.33333333334"/>
  </r>
  <r>
    <s v="AI Researcher"/>
    <x v="0"/>
    <x v="0"/>
    <x v="5"/>
    <x v="6"/>
    <x v="1"/>
    <n v="755212"/>
    <n v="601318"/>
    <x v="1"/>
    <n v="50109.833333333336"/>
  </r>
  <r>
    <s v="AI/ML Engineer"/>
    <x v="0"/>
    <x v="0"/>
    <x v="3"/>
    <x v="4"/>
    <x v="2"/>
    <n v="1324674"/>
    <n v="965392"/>
    <x v="1"/>
    <n v="80449.333333333328"/>
  </r>
  <r>
    <s v="Big Data Engineer"/>
    <x v="1"/>
    <x v="0"/>
    <x v="4"/>
    <x v="2"/>
    <x v="2"/>
    <n v="5274353"/>
    <n v="3818976"/>
    <x v="2"/>
    <n v="318248"/>
  </r>
  <r>
    <s v="AI/ML Engineer"/>
    <x v="0"/>
    <x v="0"/>
    <x v="8"/>
    <x v="0"/>
    <x v="0"/>
    <n v="1429146"/>
    <n v="1047688"/>
    <x v="1"/>
    <n v="87307.333333333328"/>
  </r>
  <r>
    <s v="Big Data Engineer"/>
    <x v="0"/>
    <x v="0"/>
    <x v="1"/>
    <x v="3"/>
    <x v="3"/>
    <n v="913340"/>
    <n v="694203"/>
    <x v="2"/>
    <n v="57850.25"/>
  </r>
  <r>
    <s v="Analytics Consultant"/>
    <x v="1"/>
    <x v="0"/>
    <x v="2"/>
    <x v="0"/>
    <x v="0"/>
    <n v="2739086"/>
    <n v="2194713"/>
    <x v="0"/>
    <n v="182892.75"/>
  </r>
  <r>
    <s v="AI Researcher"/>
    <x v="2"/>
    <x v="0"/>
    <x v="0"/>
    <x v="5"/>
    <x v="2"/>
    <n v="2764350"/>
    <n v="1973853"/>
    <x v="1"/>
    <n v="164487.75"/>
  </r>
  <r>
    <s v="Big Data Engineer"/>
    <x v="0"/>
    <x v="1"/>
    <x v="2"/>
    <x v="5"/>
    <x v="1"/>
    <n v="578166"/>
    <n v="420763"/>
    <x v="2"/>
    <n v="35063.583333333336"/>
  </r>
  <r>
    <s v="AI Researcher"/>
    <x v="0"/>
    <x v="1"/>
    <x v="8"/>
    <x v="6"/>
    <x v="3"/>
    <n v="1125674"/>
    <n v="804862"/>
    <x v="1"/>
    <n v="67071.833333333328"/>
  </r>
  <r>
    <s v="Data Analyst"/>
    <x v="2"/>
    <x v="1"/>
    <x v="2"/>
    <x v="2"/>
    <x v="0"/>
    <n v="905902"/>
    <n v="639723"/>
    <x v="0"/>
    <n v="53310.25"/>
  </r>
  <r>
    <s v="AI/ML Engineer"/>
    <x v="0"/>
    <x v="0"/>
    <x v="8"/>
    <x v="2"/>
    <x v="0"/>
    <n v="1267684"/>
    <n v="909557"/>
    <x v="1"/>
    <n v="75796.416666666672"/>
  </r>
  <r>
    <s v="Data Analyst"/>
    <x v="1"/>
    <x v="0"/>
    <x v="0"/>
    <x v="2"/>
    <x v="3"/>
    <n v="2881169"/>
    <n v="2266675"/>
    <x v="0"/>
    <n v="188889.58333333334"/>
  </r>
  <r>
    <s v="AI/ML Engineer"/>
    <x v="0"/>
    <x v="0"/>
    <x v="1"/>
    <x v="5"/>
    <x v="0"/>
    <n v="1061086"/>
    <n v="794677"/>
    <x v="1"/>
    <n v="66223.083333333328"/>
  </r>
  <r>
    <s v="AI/ML Engineer"/>
    <x v="0"/>
    <x v="1"/>
    <x v="8"/>
    <x v="6"/>
    <x v="3"/>
    <n v="1489166"/>
    <n v="1109620"/>
    <x v="1"/>
    <n v="92468.333333333328"/>
  </r>
  <r>
    <s v="AI/ML Engineer"/>
    <x v="0"/>
    <x v="0"/>
    <x v="0"/>
    <x v="4"/>
    <x v="3"/>
    <n v="1207399"/>
    <n v="927007"/>
    <x v="1"/>
    <n v="77250.583333333328"/>
  </r>
  <r>
    <s v="Data Analyst"/>
    <x v="0"/>
    <x v="1"/>
    <x v="0"/>
    <x v="2"/>
    <x v="0"/>
    <n v="343235"/>
    <n v="245421"/>
    <x v="0"/>
    <n v="20451.75"/>
  </r>
  <r>
    <s v="Data Scientist"/>
    <x v="0"/>
    <x v="0"/>
    <x v="2"/>
    <x v="5"/>
    <x v="3"/>
    <n v="543677"/>
    <n v="394189"/>
    <x v="2"/>
    <n v="32849.083333333336"/>
  </r>
  <r>
    <s v="Data Scientist"/>
    <x v="1"/>
    <x v="0"/>
    <x v="2"/>
    <x v="0"/>
    <x v="0"/>
    <n v="5454038"/>
    <n v="4188591"/>
    <x v="2"/>
    <n v="349049.25"/>
  </r>
  <r>
    <s v="Data Analyst"/>
    <x v="2"/>
    <x v="1"/>
    <x v="6"/>
    <x v="3"/>
    <x v="0"/>
    <n v="1284408"/>
    <n v="966109"/>
    <x v="0"/>
    <n v="80509.083333333328"/>
  </r>
  <r>
    <s v="AI Researcher"/>
    <x v="2"/>
    <x v="1"/>
    <x v="2"/>
    <x v="5"/>
    <x v="0"/>
    <n v="2998391"/>
    <n v="2339776"/>
    <x v="1"/>
    <n v="194981.33333333334"/>
  </r>
  <r>
    <s v="Analytics Consultant"/>
    <x v="1"/>
    <x v="1"/>
    <x v="8"/>
    <x v="3"/>
    <x v="2"/>
    <n v="2867340"/>
    <n v="2330935"/>
    <x v="0"/>
    <n v="194244.58333333334"/>
  </r>
  <r>
    <s v="Data Analyst"/>
    <x v="2"/>
    <x v="0"/>
    <x v="7"/>
    <x v="0"/>
    <x v="2"/>
    <n v="1753288"/>
    <n v="1245739"/>
    <x v="0"/>
    <n v="103811.58333333333"/>
  </r>
  <r>
    <s v="AI Researcher"/>
    <x v="0"/>
    <x v="0"/>
    <x v="5"/>
    <x v="1"/>
    <x v="3"/>
    <n v="831386"/>
    <n v="588501"/>
    <x v="1"/>
    <n v="49041.75"/>
  </r>
  <r>
    <s v="AI Researcher"/>
    <x v="0"/>
    <x v="0"/>
    <x v="2"/>
    <x v="4"/>
    <x v="3"/>
    <n v="891983"/>
    <n v="703152"/>
    <x v="1"/>
    <n v="58596"/>
  </r>
  <r>
    <s v="Data Scientist"/>
    <x v="1"/>
    <x v="0"/>
    <x v="3"/>
    <x v="0"/>
    <x v="3"/>
    <n v="4330992"/>
    <n v="3389465"/>
    <x v="2"/>
    <n v="282455.41666666669"/>
  </r>
  <r>
    <s v="Data Analyst"/>
    <x v="1"/>
    <x v="1"/>
    <x v="7"/>
    <x v="5"/>
    <x v="3"/>
    <n v="2711957"/>
    <n v="1915898"/>
    <x v="0"/>
    <n v="159658.16666666666"/>
  </r>
  <r>
    <s v="Data Scientist"/>
    <x v="2"/>
    <x v="1"/>
    <x v="7"/>
    <x v="4"/>
    <x v="1"/>
    <n v="1521699"/>
    <n v="1241723"/>
    <x v="2"/>
    <n v="103476.91666666667"/>
  </r>
  <r>
    <s v="AI Researcher"/>
    <x v="2"/>
    <x v="1"/>
    <x v="8"/>
    <x v="1"/>
    <x v="1"/>
    <n v="2324390"/>
    <n v="1659393"/>
    <x v="1"/>
    <n v="138282.75"/>
  </r>
  <r>
    <s v="Analytics Consultant"/>
    <x v="1"/>
    <x v="1"/>
    <x v="1"/>
    <x v="5"/>
    <x v="3"/>
    <n v="3701165"/>
    <n v="3003190"/>
    <x v="0"/>
    <n v="250265.83333333334"/>
  </r>
  <r>
    <s v="Data Scientist"/>
    <x v="0"/>
    <x v="0"/>
    <x v="3"/>
    <x v="0"/>
    <x v="1"/>
    <n v="636771"/>
    <n v="486239"/>
    <x v="2"/>
    <n v="40519.916666666664"/>
  </r>
  <r>
    <s v="AI/ML Engineer"/>
    <x v="0"/>
    <x v="0"/>
    <x v="1"/>
    <x v="3"/>
    <x v="3"/>
    <n v="1152090"/>
    <n v="926738"/>
    <x v="1"/>
    <n v="77228.166666666672"/>
  </r>
  <r>
    <s v="Big Data Engineer"/>
    <x v="1"/>
    <x v="0"/>
    <x v="5"/>
    <x v="0"/>
    <x v="1"/>
    <n v="4533895"/>
    <n v="3349411"/>
    <x v="2"/>
    <n v="279117.58333333331"/>
  </r>
  <r>
    <s v="AI/ML Engineer"/>
    <x v="2"/>
    <x v="1"/>
    <x v="3"/>
    <x v="3"/>
    <x v="1"/>
    <n v="2537609"/>
    <n v="1946147"/>
    <x v="1"/>
    <n v="162178.91666666666"/>
  </r>
  <r>
    <s v="Big Data Engineer"/>
    <x v="0"/>
    <x v="0"/>
    <x v="1"/>
    <x v="5"/>
    <x v="3"/>
    <n v="851985"/>
    <n v="660934"/>
    <x v="2"/>
    <n v="55077.833333333336"/>
  </r>
  <r>
    <s v="Analytics Consultant"/>
    <x v="2"/>
    <x v="1"/>
    <x v="5"/>
    <x v="5"/>
    <x v="1"/>
    <n v="1825488"/>
    <n v="1396417"/>
    <x v="0"/>
    <n v="116368.08333333333"/>
  </r>
  <r>
    <s v="Data Scientist"/>
    <x v="2"/>
    <x v="0"/>
    <x v="7"/>
    <x v="6"/>
    <x v="3"/>
    <n v="2319265"/>
    <n v="1686140"/>
    <x v="2"/>
    <n v="140511.66666666666"/>
  </r>
  <r>
    <s v="AI/ML Engineer"/>
    <x v="1"/>
    <x v="1"/>
    <x v="5"/>
    <x v="5"/>
    <x v="3"/>
    <n v="4335755"/>
    <n v="3052532"/>
    <x v="1"/>
    <n v="254377.66666666666"/>
  </r>
  <r>
    <s v="Analytics Consultant"/>
    <x v="2"/>
    <x v="0"/>
    <x v="6"/>
    <x v="1"/>
    <x v="2"/>
    <n v="2102189"/>
    <n v="1626625"/>
    <x v="0"/>
    <n v="135552.08333333334"/>
  </r>
  <r>
    <s v="Big Data Engineer"/>
    <x v="1"/>
    <x v="0"/>
    <x v="7"/>
    <x v="0"/>
    <x v="3"/>
    <n v="3689017"/>
    <n v="2600027"/>
    <x v="2"/>
    <n v="216668.91666666666"/>
  </r>
  <r>
    <s v="Analytics Consultant"/>
    <x v="0"/>
    <x v="1"/>
    <x v="1"/>
    <x v="5"/>
    <x v="1"/>
    <n v="834949"/>
    <n v="676070"/>
    <x v="0"/>
    <n v="56339.166666666664"/>
  </r>
  <r>
    <s v="Data Scientist"/>
    <x v="0"/>
    <x v="1"/>
    <x v="0"/>
    <x v="2"/>
    <x v="1"/>
    <n v="577706"/>
    <n v="413509"/>
    <x v="2"/>
    <n v="34459.083333333336"/>
  </r>
  <r>
    <s v="AI/ML Engineer"/>
    <x v="1"/>
    <x v="1"/>
    <x v="4"/>
    <x v="6"/>
    <x v="3"/>
    <n v="6966415"/>
    <n v="5545447"/>
    <x v="1"/>
    <n v="462120.58333333331"/>
  </r>
  <r>
    <s v="AI/ML Engineer"/>
    <x v="2"/>
    <x v="1"/>
    <x v="3"/>
    <x v="2"/>
    <x v="3"/>
    <n v="2755383"/>
    <n v="2242396"/>
    <x v="1"/>
    <n v="186866.33333333334"/>
  </r>
  <r>
    <s v="Data Analyst"/>
    <x v="0"/>
    <x v="1"/>
    <x v="3"/>
    <x v="0"/>
    <x v="3"/>
    <n v="751936"/>
    <n v="579646"/>
    <x v="0"/>
    <n v="48303.833333333336"/>
  </r>
  <r>
    <s v="Big Data Engineer"/>
    <x v="1"/>
    <x v="0"/>
    <x v="7"/>
    <x v="6"/>
    <x v="2"/>
    <n v="4165404"/>
    <n v="3320870"/>
    <x v="2"/>
    <n v="276739.16666666669"/>
  </r>
  <r>
    <s v="Big Data Engineer"/>
    <x v="0"/>
    <x v="0"/>
    <x v="2"/>
    <x v="1"/>
    <x v="2"/>
    <n v="1100988"/>
    <n v="812482"/>
    <x v="2"/>
    <n v="67706.833333333328"/>
  </r>
  <r>
    <s v="Analytics Consultant"/>
    <x v="1"/>
    <x v="0"/>
    <x v="6"/>
    <x v="3"/>
    <x v="2"/>
    <n v="4837386"/>
    <n v="3658688"/>
    <x v="0"/>
    <n v="304890.66666666669"/>
  </r>
  <r>
    <s v="Data Scientist"/>
    <x v="0"/>
    <x v="0"/>
    <x v="6"/>
    <x v="0"/>
    <x v="1"/>
    <n v="1188119"/>
    <n v="918431"/>
    <x v="2"/>
    <n v="76535.916666666672"/>
  </r>
  <r>
    <s v="AI Researcher"/>
    <x v="2"/>
    <x v="1"/>
    <x v="7"/>
    <x v="5"/>
    <x v="1"/>
    <n v="2651814"/>
    <n v="1978483"/>
    <x v="1"/>
    <n v="164873.58333333334"/>
  </r>
  <r>
    <s v="Data Scientist"/>
    <x v="0"/>
    <x v="0"/>
    <x v="2"/>
    <x v="1"/>
    <x v="1"/>
    <n v="899296"/>
    <n v="700840"/>
    <x v="2"/>
    <n v="58403.333333333336"/>
  </r>
  <r>
    <s v="Big Data Engineer"/>
    <x v="2"/>
    <x v="1"/>
    <x v="8"/>
    <x v="3"/>
    <x v="2"/>
    <n v="1273412"/>
    <n v="995248"/>
    <x v="2"/>
    <n v="82937.333333333328"/>
  </r>
  <r>
    <s v="Data Analyst"/>
    <x v="0"/>
    <x v="0"/>
    <x v="1"/>
    <x v="3"/>
    <x v="1"/>
    <n v="724404"/>
    <n v="591920"/>
    <x v="0"/>
    <n v="49326.666666666664"/>
  </r>
  <r>
    <s v="Data Scientist"/>
    <x v="2"/>
    <x v="1"/>
    <x v="4"/>
    <x v="5"/>
    <x v="1"/>
    <n v="1873072"/>
    <n v="1416813"/>
    <x v="2"/>
    <n v="118067.75"/>
  </r>
  <r>
    <s v="Data Analyst"/>
    <x v="2"/>
    <x v="1"/>
    <x v="0"/>
    <x v="6"/>
    <x v="2"/>
    <n v="957741"/>
    <n v="714949"/>
    <x v="0"/>
    <n v="59579.083333333336"/>
  </r>
  <r>
    <s v="Data Analyst"/>
    <x v="1"/>
    <x v="0"/>
    <x v="3"/>
    <x v="4"/>
    <x v="2"/>
    <n v="2030399"/>
    <n v="1508229"/>
    <x v="0"/>
    <n v="125685.75"/>
  </r>
  <r>
    <s v="Big Data Engineer"/>
    <x v="1"/>
    <x v="1"/>
    <x v="6"/>
    <x v="3"/>
    <x v="0"/>
    <n v="3440726"/>
    <n v="2488578"/>
    <x v="2"/>
    <n v="207381.5"/>
  </r>
  <r>
    <s v="Big Data Engineer"/>
    <x v="0"/>
    <x v="0"/>
    <x v="5"/>
    <x v="1"/>
    <x v="2"/>
    <n v="507164"/>
    <n v="394264"/>
    <x v="2"/>
    <n v="32855.333333333336"/>
  </r>
  <r>
    <s v="AI/ML Engineer"/>
    <x v="0"/>
    <x v="0"/>
    <x v="6"/>
    <x v="3"/>
    <x v="1"/>
    <n v="1266528"/>
    <n v="968193"/>
    <x v="1"/>
    <n v="80682.75"/>
  </r>
  <r>
    <s v="Data Analyst"/>
    <x v="2"/>
    <x v="1"/>
    <x v="6"/>
    <x v="5"/>
    <x v="1"/>
    <n v="847190"/>
    <n v="618545"/>
    <x v="0"/>
    <n v="51545.416666666664"/>
  </r>
  <r>
    <s v="Data Analyst"/>
    <x v="2"/>
    <x v="1"/>
    <x v="4"/>
    <x v="3"/>
    <x v="3"/>
    <n v="1335584"/>
    <n v="1089795"/>
    <x v="0"/>
    <n v="90816.25"/>
  </r>
  <r>
    <s v="AI Researcher"/>
    <x v="2"/>
    <x v="0"/>
    <x v="6"/>
    <x v="0"/>
    <x v="1"/>
    <n v="2288630"/>
    <n v="1625878"/>
    <x v="1"/>
    <n v="135489.83333333334"/>
  </r>
  <r>
    <s v="Big Data Engineer"/>
    <x v="2"/>
    <x v="0"/>
    <x v="4"/>
    <x v="1"/>
    <x v="0"/>
    <n v="1498158"/>
    <n v="1138615"/>
    <x v="2"/>
    <n v="94884.583333333328"/>
  </r>
  <r>
    <s v="AI/ML Engineer"/>
    <x v="2"/>
    <x v="1"/>
    <x v="2"/>
    <x v="5"/>
    <x v="1"/>
    <n v="1731719"/>
    <n v="1390344"/>
    <x v="1"/>
    <n v="115862"/>
  </r>
  <r>
    <s v="AI/ML Engineer"/>
    <x v="2"/>
    <x v="0"/>
    <x v="6"/>
    <x v="4"/>
    <x v="2"/>
    <n v="2233304"/>
    <n v="1566497"/>
    <x v="1"/>
    <n v="130541.41666666667"/>
  </r>
  <r>
    <s v="Analytics Consultant"/>
    <x v="0"/>
    <x v="1"/>
    <x v="8"/>
    <x v="1"/>
    <x v="1"/>
    <n v="639727"/>
    <n v="516260"/>
    <x v="0"/>
    <n v="43021.666666666664"/>
  </r>
  <r>
    <s v="AI Researcher"/>
    <x v="0"/>
    <x v="0"/>
    <x v="5"/>
    <x v="2"/>
    <x v="2"/>
    <n v="1214809"/>
    <n v="963849"/>
    <x v="1"/>
    <n v="80320.75"/>
  </r>
  <r>
    <s v="Data Scientist"/>
    <x v="2"/>
    <x v="1"/>
    <x v="0"/>
    <x v="2"/>
    <x v="3"/>
    <n v="1929899"/>
    <n v="1425650"/>
    <x v="2"/>
    <n v="118804.16666666667"/>
  </r>
  <r>
    <s v="AI/ML Engineer"/>
    <x v="1"/>
    <x v="1"/>
    <x v="3"/>
    <x v="1"/>
    <x v="1"/>
    <n v="6956509"/>
    <n v="5371864"/>
    <x v="1"/>
    <n v="447655.33333333331"/>
  </r>
  <r>
    <s v="AI/ML Engineer"/>
    <x v="1"/>
    <x v="1"/>
    <x v="0"/>
    <x v="4"/>
    <x v="1"/>
    <n v="4502966"/>
    <n v="3264738"/>
    <x v="1"/>
    <n v="272061.5"/>
  </r>
  <r>
    <s v="AI/ML Engineer"/>
    <x v="1"/>
    <x v="0"/>
    <x v="5"/>
    <x v="4"/>
    <x v="1"/>
    <n v="6529379"/>
    <n v="5018155"/>
    <x v="1"/>
    <n v="418179.58333333331"/>
  </r>
  <r>
    <s v="Data Scientist"/>
    <x v="2"/>
    <x v="0"/>
    <x v="1"/>
    <x v="5"/>
    <x v="0"/>
    <n v="1502533"/>
    <n v="1228170"/>
    <x v="2"/>
    <n v="102347.5"/>
  </r>
  <r>
    <s v="AI Researcher"/>
    <x v="1"/>
    <x v="0"/>
    <x v="4"/>
    <x v="5"/>
    <x v="2"/>
    <n v="6300539"/>
    <n v="4729693"/>
    <x v="1"/>
    <n v="394141.08333333331"/>
  </r>
  <r>
    <s v="AI Researcher"/>
    <x v="1"/>
    <x v="1"/>
    <x v="5"/>
    <x v="1"/>
    <x v="3"/>
    <n v="4366653"/>
    <n v="3454589"/>
    <x v="1"/>
    <n v="287882.41666666669"/>
  </r>
  <r>
    <s v="Analytics Consultant"/>
    <x v="1"/>
    <x v="1"/>
    <x v="2"/>
    <x v="3"/>
    <x v="1"/>
    <n v="3120973"/>
    <n v="2220636"/>
    <x v="0"/>
    <n v="185053"/>
  </r>
  <r>
    <s v="Big Data Engineer"/>
    <x v="1"/>
    <x v="1"/>
    <x v="5"/>
    <x v="6"/>
    <x v="1"/>
    <n v="3721387"/>
    <n v="2983558"/>
    <x v="2"/>
    <n v="248629.83333333334"/>
  </r>
  <r>
    <s v="Analytics Consultant"/>
    <x v="2"/>
    <x v="0"/>
    <x v="7"/>
    <x v="6"/>
    <x v="2"/>
    <n v="1299897"/>
    <n v="934628"/>
    <x v="0"/>
    <n v="77885.666666666672"/>
  </r>
  <r>
    <s v="Data Analyst"/>
    <x v="0"/>
    <x v="1"/>
    <x v="7"/>
    <x v="2"/>
    <x v="1"/>
    <n v="625914"/>
    <n v="448113"/>
    <x v="0"/>
    <n v="37342.75"/>
  </r>
  <r>
    <s v="Big Data Engineer"/>
    <x v="1"/>
    <x v="1"/>
    <x v="0"/>
    <x v="2"/>
    <x v="0"/>
    <n v="3734508"/>
    <n v="3045766"/>
    <x v="2"/>
    <n v="253813.83333333334"/>
  </r>
  <r>
    <s v="Analytics Consultant"/>
    <x v="1"/>
    <x v="1"/>
    <x v="8"/>
    <x v="0"/>
    <x v="3"/>
    <n v="2758196"/>
    <n v="2176566"/>
    <x v="0"/>
    <n v="181380.5"/>
  </r>
  <r>
    <s v="AI/ML Engineer"/>
    <x v="0"/>
    <x v="1"/>
    <x v="7"/>
    <x v="3"/>
    <x v="1"/>
    <n v="1306086"/>
    <n v="995717"/>
    <x v="1"/>
    <n v="82976.416666666672"/>
  </r>
  <r>
    <s v="Data Analyst"/>
    <x v="2"/>
    <x v="0"/>
    <x v="7"/>
    <x v="0"/>
    <x v="3"/>
    <n v="1619880"/>
    <n v="1136793"/>
    <x v="0"/>
    <n v="94732.75"/>
  </r>
  <r>
    <s v="Data Analyst"/>
    <x v="2"/>
    <x v="1"/>
    <x v="5"/>
    <x v="6"/>
    <x v="0"/>
    <n v="1392970"/>
    <n v="1003736"/>
    <x v="0"/>
    <n v="83644.666666666672"/>
  </r>
  <r>
    <s v="AI/ML Engineer"/>
    <x v="0"/>
    <x v="0"/>
    <x v="1"/>
    <x v="0"/>
    <x v="3"/>
    <n v="1218594"/>
    <n v="968648"/>
    <x v="1"/>
    <n v="80720.666666666672"/>
  </r>
  <r>
    <s v="Big Data Engineer"/>
    <x v="2"/>
    <x v="0"/>
    <x v="0"/>
    <x v="5"/>
    <x v="2"/>
    <n v="2280467"/>
    <n v="1819844"/>
    <x v="2"/>
    <n v="151653.66666666666"/>
  </r>
  <r>
    <s v="Analytics Consultant"/>
    <x v="0"/>
    <x v="1"/>
    <x v="7"/>
    <x v="0"/>
    <x v="1"/>
    <n v="765698"/>
    <n v="567083"/>
    <x v="0"/>
    <n v="47256.916666666664"/>
  </r>
  <r>
    <s v="Analytics Consultant"/>
    <x v="2"/>
    <x v="1"/>
    <x v="0"/>
    <x v="4"/>
    <x v="0"/>
    <n v="1548718"/>
    <n v="1120070"/>
    <x v="0"/>
    <n v="93339.166666666672"/>
  </r>
  <r>
    <s v="Big Data Engineer"/>
    <x v="0"/>
    <x v="1"/>
    <x v="0"/>
    <x v="1"/>
    <x v="0"/>
    <n v="858131"/>
    <n v="677437"/>
    <x v="2"/>
    <n v="56453.083333333336"/>
  </r>
  <r>
    <s v="AI Researcher"/>
    <x v="2"/>
    <x v="1"/>
    <x v="3"/>
    <x v="5"/>
    <x v="0"/>
    <n v="2868502"/>
    <n v="2249922"/>
    <x v="1"/>
    <n v="187493.5"/>
  </r>
  <r>
    <s v="Data Scientist"/>
    <x v="2"/>
    <x v="1"/>
    <x v="8"/>
    <x v="0"/>
    <x v="2"/>
    <n v="1214493"/>
    <n v="917775"/>
    <x v="2"/>
    <n v="76481.25"/>
  </r>
  <r>
    <s v="Big Data Engineer"/>
    <x v="1"/>
    <x v="0"/>
    <x v="8"/>
    <x v="3"/>
    <x v="1"/>
    <n v="3971992"/>
    <n v="2798486"/>
    <x v="2"/>
    <n v="233207.16666666666"/>
  </r>
  <r>
    <s v="Analytics Consultant"/>
    <x v="0"/>
    <x v="0"/>
    <x v="3"/>
    <x v="2"/>
    <x v="0"/>
    <n v="500272"/>
    <n v="378045"/>
    <x v="0"/>
    <n v="31503.75"/>
  </r>
  <r>
    <s v="Data Scientist"/>
    <x v="2"/>
    <x v="0"/>
    <x v="5"/>
    <x v="5"/>
    <x v="0"/>
    <n v="2144724"/>
    <n v="1522155"/>
    <x v="2"/>
    <n v="126846.25"/>
  </r>
  <r>
    <s v="Data Analyst"/>
    <x v="2"/>
    <x v="0"/>
    <x v="4"/>
    <x v="1"/>
    <x v="0"/>
    <n v="972658"/>
    <n v="761264"/>
    <x v="0"/>
    <n v="63438.666666666664"/>
  </r>
  <r>
    <s v="Data Analyst"/>
    <x v="2"/>
    <x v="0"/>
    <x v="6"/>
    <x v="0"/>
    <x v="3"/>
    <n v="1289078"/>
    <n v="908456"/>
    <x v="0"/>
    <n v="75704.666666666672"/>
  </r>
  <r>
    <s v="Data Scientist"/>
    <x v="1"/>
    <x v="1"/>
    <x v="8"/>
    <x v="0"/>
    <x v="2"/>
    <n v="5321440"/>
    <n v="4066883"/>
    <x v="2"/>
    <n v="338906.91666666669"/>
  </r>
  <r>
    <s v="Analytics Consultant"/>
    <x v="1"/>
    <x v="0"/>
    <x v="0"/>
    <x v="1"/>
    <x v="3"/>
    <n v="4426031"/>
    <n v="3422819"/>
    <x v="0"/>
    <n v="285234.91666666669"/>
  </r>
  <r>
    <s v="AI Researcher"/>
    <x v="1"/>
    <x v="1"/>
    <x v="5"/>
    <x v="6"/>
    <x v="2"/>
    <n v="5891684"/>
    <n v="4514547"/>
    <x v="1"/>
    <n v="376212.25"/>
  </r>
  <r>
    <s v="AI/ML Engineer"/>
    <x v="0"/>
    <x v="0"/>
    <x v="7"/>
    <x v="0"/>
    <x v="0"/>
    <n v="1199211"/>
    <n v="908772"/>
    <x v="1"/>
    <n v="75731"/>
  </r>
  <r>
    <s v="Big Data Engineer"/>
    <x v="1"/>
    <x v="0"/>
    <x v="0"/>
    <x v="6"/>
    <x v="3"/>
    <n v="2829386"/>
    <n v="2043830"/>
    <x v="2"/>
    <n v="170319.16666666666"/>
  </r>
  <r>
    <s v="Data Scientist"/>
    <x v="1"/>
    <x v="1"/>
    <x v="1"/>
    <x v="1"/>
    <x v="1"/>
    <n v="2717357"/>
    <n v="2154662"/>
    <x v="2"/>
    <n v="179555.16666666666"/>
  </r>
  <r>
    <s v="Data Analyst"/>
    <x v="1"/>
    <x v="0"/>
    <x v="6"/>
    <x v="6"/>
    <x v="3"/>
    <n v="2469282"/>
    <n v="1987784"/>
    <x v="0"/>
    <n v="165648.66666666666"/>
  </r>
  <r>
    <s v="Big Data Engineer"/>
    <x v="2"/>
    <x v="1"/>
    <x v="5"/>
    <x v="1"/>
    <x v="1"/>
    <n v="2497894"/>
    <n v="1858965"/>
    <x v="2"/>
    <n v="154913.75"/>
  </r>
  <r>
    <s v="Analytics Consultant"/>
    <x v="0"/>
    <x v="1"/>
    <x v="2"/>
    <x v="1"/>
    <x v="2"/>
    <n v="519521"/>
    <n v="364664"/>
    <x v="0"/>
    <n v="30388.666666666668"/>
  </r>
  <r>
    <s v="Analytics Consultant"/>
    <x v="2"/>
    <x v="0"/>
    <x v="5"/>
    <x v="6"/>
    <x v="2"/>
    <n v="1795317"/>
    <n v="1272906"/>
    <x v="0"/>
    <n v="106075.5"/>
  </r>
  <r>
    <s v="AI Researcher"/>
    <x v="2"/>
    <x v="0"/>
    <x v="5"/>
    <x v="2"/>
    <x v="1"/>
    <n v="2185270"/>
    <n v="1656970"/>
    <x v="1"/>
    <n v="138080.83333333334"/>
  </r>
  <r>
    <s v="Data Scientist"/>
    <x v="2"/>
    <x v="0"/>
    <x v="1"/>
    <x v="4"/>
    <x v="3"/>
    <n v="1510220"/>
    <n v="1119466"/>
    <x v="2"/>
    <n v="93288.833333333328"/>
  </r>
  <r>
    <s v="Big Data Engineer"/>
    <x v="0"/>
    <x v="1"/>
    <x v="4"/>
    <x v="0"/>
    <x v="1"/>
    <n v="1104120"/>
    <n v="834512"/>
    <x v="2"/>
    <n v="69542.666666666672"/>
  </r>
  <r>
    <s v="Data Analyst"/>
    <x v="1"/>
    <x v="1"/>
    <x v="7"/>
    <x v="6"/>
    <x v="0"/>
    <n v="2353805"/>
    <n v="1740826"/>
    <x v="0"/>
    <n v="145068.83333333334"/>
  </r>
  <r>
    <s v="Big Data Engineer"/>
    <x v="2"/>
    <x v="0"/>
    <x v="5"/>
    <x v="5"/>
    <x v="0"/>
    <n v="2381273"/>
    <n v="1711320"/>
    <x v="2"/>
    <n v="142610"/>
  </r>
  <r>
    <s v="AI/ML Engineer"/>
    <x v="0"/>
    <x v="0"/>
    <x v="5"/>
    <x v="4"/>
    <x v="0"/>
    <n v="656074"/>
    <n v="530419"/>
    <x v="1"/>
    <n v="44201.583333333336"/>
  </r>
  <r>
    <s v="AI/ML Engineer"/>
    <x v="0"/>
    <x v="1"/>
    <x v="6"/>
    <x v="0"/>
    <x v="1"/>
    <n v="1119937"/>
    <n v="839720"/>
    <x v="1"/>
    <n v="69976.666666666672"/>
  </r>
  <r>
    <s v="Analytics Consultant"/>
    <x v="1"/>
    <x v="0"/>
    <x v="5"/>
    <x v="6"/>
    <x v="0"/>
    <n v="4744095"/>
    <n v="3469515"/>
    <x v="0"/>
    <n v="289126.25"/>
  </r>
  <r>
    <s v="AI Researcher"/>
    <x v="1"/>
    <x v="1"/>
    <x v="6"/>
    <x v="3"/>
    <x v="0"/>
    <n v="6633645"/>
    <n v="5120847"/>
    <x v="1"/>
    <n v="426737.25"/>
  </r>
  <r>
    <s v="Big Data Engineer"/>
    <x v="1"/>
    <x v="1"/>
    <x v="5"/>
    <x v="4"/>
    <x v="2"/>
    <n v="2888285"/>
    <n v="2058454"/>
    <x v="2"/>
    <n v="171537.83333333334"/>
  </r>
  <r>
    <s v="Big Data Engineer"/>
    <x v="1"/>
    <x v="0"/>
    <x v="3"/>
    <x v="6"/>
    <x v="3"/>
    <n v="4368879"/>
    <n v="3299195"/>
    <x v="2"/>
    <n v="274932.91666666669"/>
  </r>
  <r>
    <s v="Data Scientist"/>
    <x v="0"/>
    <x v="1"/>
    <x v="3"/>
    <x v="6"/>
    <x v="2"/>
    <n v="575272"/>
    <n v="445628"/>
    <x v="2"/>
    <n v="37135.666666666664"/>
  </r>
  <r>
    <s v="Big Data Engineer"/>
    <x v="2"/>
    <x v="1"/>
    <x v="5"/>
    <x v="5"/>
    <x v="1"/>
    <n v="2356744"/>
    <n v="1893332"/>
    <x v="2"/>
    <n v="157777.66666666666"/>
  </r>
  <r>
    <s v="AI Researcher"/>
    <x v="2"/>
    <x v="1"/>
    <x v="2"/>
    <x v="2"/>
    <x v="3"/>
    <n v="1739992"/>
    <n v="1378560"/>
    <x v="1"/>
    <n v="114880"/>
  </r>
  <r>
    <s v="AI/ML Engineer"/>
    <x v="0"/>
    <x v="1"/>
    <x v="7"/>
    <x v="2"/>
    <x v="1"/>
    <n v="1205706"/>
    <n v="857833"/>
    <x v="1"/>
    <n v="71486.083333333328"/>
  </r>
  <r>
    <s v="Data Scientist"/>
    <x v="0"/>
    <x v="1"/>
    <x v="6"/>
    <x v="5"/>
    <x v="3"/>
    <n v="968889"/>
    <n v="711259"/>
    <x v="2"/>
    <n v="59271.583333333336"/>
  </r>
  <r>
    <s v="AI Researcher"/>
    <x v="0"/>
    <x v="1"/>
    <x v="4"/>
    <x v="6"/>
    <x v="0"/>
    <n v="1020917"/>
    <n v="804108"/>
    <x v="1"/>
    <n v="67009"/>
  </r>
  <r>
    <s v="Data Scientist"/>
    <x v="0"/>
    <x v="0"/>
    <x v="5"/>
    <x v="3"/>
    <x v="0"/>
    <n v="1099428"/>
    <n v="794560"/>
    <x v="2"/>
    <n v="66213.333333333328"/>
  </r>
  <r>
    <s v="Data Analyst"/>
    <x v="0"/>
    <x v="0"/>
    <x v="4"/>
    <x v="1"/>
    <x v="0"/>
    <n v="638972"/>
    <n v="480863"/>
    <x v="0"/>
    <n v="40071.916666666664"/>
  </r>
  <r>
    <s v="Big Data Engineer"/>
    <x v="0"/>
    <x v="0"/>
    <x v="5"/>
    <x v="6"/>
    <x v="0"/>
    <n v="772247"/>
    <n v="601327"/>
    <x v="2"/>
    <n v="50110.583333333336"/>
  </r>
  <r>
    <s v="Big Data Engineer"/>
    <x v="1"/>
    <x v="1"/>
    <x v="0"/>
    <x v="1"/>
    <x v="3"/>
    <n v="3185760"/>
    <n v="2577846"/>
    <x v="2"/>
    <n v="214820.5"/>
  </r>
  <r>
    <s v="Big Data Engineer"/>
    <x v="0"/>
    <x v="1"/>
    <x v="2"/>
    <x v="4"/>
    <x v="3"/>
    <n v="831384"/>
    <n v="621980"/>
    <x v="2"/>
    <n v="51831.666666666664"/>
  </r>
  <r>
    <s v="AI Researcher"/>
    <x v="0"/>
    <x v="0"/>
    <x v="0"/>
    <x v="4"/>
    <x v="1"/>
    <n v="1279329"/>
    <n v="972207"/>
    <x v="1"/>
    <n v="81017.25"/>
  </r>
  <r>
    <s v="Analytics Consultant"/>
    <x v="2"/>
    <x v="0"/>
    <x v="8"/>
    <x v="6"/>
    <x v="2"/>
    <n v="1590239"/>
    <n v="1188682"/>
    <x v="0"/>
    <n v="99056.833333333328"/>
  </r>
  <r>
    <s v="Analytics Consultant"/>
    <x v="0"/>
    <x v="0"/>
    <x v="3"/>
    <x v="6"/>
    <x v="0"/>
    <n v="733641"/>
    <n v="571169"/>
    <x v="0"/>
    <n v="47597.416666666664"/>
  </r>
  <r>
    <s v="Big Data Engineer"/>
    <x v="2"/>
    <x v="0"/>
    <x v="3"/>
    <x v="4"/>
    <x v="2"/>
    <n v="2382076"/>
    <n v="1845214"/>
    <x v="2"/>
    <n v="153767.83333333334"/>
  </r>
  <r>
    <s v="AI/ML Engineer"/>
    <x v="0"/>
    <x v="1"/>
    <x v="4"/>
    <x v="5"/>
    <x v="3"/>
    <n v="1289213"/>
    <n v="960712"/>
    <x v="1"/>
    <n v="80059.333333333328"/>
  </r>
  <r>
    <s v="Analytics Consultant"/>
    <x v="2"/>
    <x v="1"/>
    <x v="1"/>
    <x v="1"/>
    <x v="3"/>
    <n v="1894929"/>
    <n v="1445347"/>
    <x v="0"/>
    <n v="120445.58333333333"/>
  </r>
  <r>
    <s v="AI Researcher"/>
    <x v="2"/>
    <x v="1"/>
    <x v="4"/>
    <x v="4"/>
    <x v="0"/>
    <n v="1632126"/>
    <n v="1328568"/>
    <x v="1"/>
    <n v="110714"/>
  </r>
  <r>
    <s v="AI/ML Engineer"/>
    <x v="2"/>
    <x v="1"/>
    <x v="3"/>
    <x v="3"/>
    <x v="0"/>
    <n v="2989915"/>
    <n v="2283882"/>
    <x v="1"/>
    <n v="190323.5"/>
  </r>
  <r>
    <s v="Big Data Engineer"/>
    <x v="2"/>
    <x v="1"/>
    <x v="2"/>
    <x v="4"/>
    <x v="0"/>
    <n v="1739300"/>
    <n v="1360112"/>
    <x v="2"/>
    <n v="113342.66666666667"/>
  </r>
  <r>
    <s v="Analytics Consultant"/>
    <x v="0"/>
    <x v="1"/>
    <x v="5"/>
    <x v="5"/>
    <x v="1"/>
    <n v="1175121"/>
    <n v="940759"/>
    <x v="0"/>
    <n v="78396.583333333328"/>
  </r>
  <r>
    <s v="AI/ML Engineer"/>
    <x v="2"/>
    <x v="0"/>
    <x v="2"/>
    <x v="0"/>
    <x v="2"/>
    <n v="1756171"/>
    <n v="1276991"/>
    <x v="1"/>
    <n v="106415.91666666667"/>
  </r>
  <r>
    <s v="Data Analyst"/>
    <x v="1"/>
    <x v="0"/>
    <x v="1"/>
    <x v="6"/>
    <x v="0"/>
    <n v="2043737"/>
    <n v="1496397"/>
    <x v="0"/>
    <n v="124699.75"/>
  </r>
  <r>
    <s v="Data Scientist"/>
    <x v="2"/>
    <x v="0"/>
    <x v="7"/>
    <x v="5"/>
    <x v="2"/>
    <n v="1336381"/>
    <n v="1053132"/>
    <x v="2"/>
    <n v="87761"/>
  </r>
  <r>
    <s v="Analytics Consultant"/>
    <x v="2"/>
    <x v="1"/>
    <x v="8"/>
    <x v="2"/>
    <x v="3"/>
    <n v="2225901"/>
    <n v="1668291"/>
    <x v="0"/>
    <n v="139024.25"/>
  </r>
  <r>
    <s v="AI/ML Engineer"/>
    <x v="2"/>
    <x v="0"/>
    <x v="3"/>
    <x v="5"/>
    <x v="3"/>
    <n v="2518764"/>
    <n v="1828926"/>
    <x v="1"/>
    <n v="152410.5"/>
  </r>
  <r>
    <s v="Big Data Engineer"/>
    <x v="1"/>
    <x v="0"/>
    <x v="2"/>
    <x v="1"/>
    <x v="3"/>
    <n v="2916142"/>
    <n v="2129786"/>
    <x v="2"/>
    <n v="177482.16666666666"/>
  </r>
  <r>
    <s v="Analytics Consultant"/>
    <x v="1"/>
    <x v="0"/>
    <x v="8"/>
    <x v="5"/>
    <x v="1"/>
    <n v="4932229"/>
    <n v="3542165"/>
    <x v="0"/>
    <n v="295180.41666666669"/>
  </r>
  <r>
    <s v="AI Researcher"/>
    <x v="1"/>
    <x v="0"/>
    <x v="5"/>
    <x v="1"/>
    <x v="3"/>
    <n v="3795980"/>
    <n v="2816807"/>
    <x v="1"/>
    <n v="234733.91666666666"/>
  </r>
  <r>
    <s v="AI/ML Engineer"/>
    <x v="0"/>
    <x v="0"/>
    <x v="3"/>
    <x v="0"/>
    <x v="0"/>
    <n v="722122"/>
    <n v="530847"/>
    <x v="1"/>
    <n v="44237.25"/>
  </r>
  <r>
    <s v="Data Scientist"/>
    <x v="1"/>
    <x v="0"/>
    <x v="8"/>
    <x v="6"/>
    <x v="0"/>
    <n v="4773681"/>
    <n v="3453133"/>
    <x v="2"/>
    <n v="287761.08333333331"/>
  </r>
  <r>
    <s v="AI Researcher"/>
    <x v="1"/>
    <x v="0"/>
    <x v="7"/>
    <x v="0"/>
    <x v="2"/>
    <n v="4330643"/>
    <n v="3398749"/>
    <x v="1"/>
    <n v="283229.08333333331"/>
  </r>
  <r>
    <s v="Data Scientist"/>
    <x v="0"/>
    <x v="0"/>
    <x v="0"/>
    <x v="3"/>
    <x v="2"/>
    <n v="630013"/>
    <n v="460412"/>
    <x v="2"/>
    <n v="38367.666666666664"/>
  </r>
  <r>
    <s v="Analytics Consultant"/>
    <x v="2"/>
    <x v="1"/>
    <x v="6"/>
    <x v="3"/>
    <x v="1"/>
    <n v="1353217"/>
    <n v="980179"/>
    <x v="0"/>
    <n v="81681.583333333328"/>
  </r>
  <r>
    <s v="AI/ML Engineer"/>
    <x v="1"/>
    <x v="0"/>
    <x v="1"/>
    <x v="2"/>
    <x v="0"/>
    <n v="4216381"/>
    <n v="3165251"/>
    <x v="1"/>
    <n v="263770.91666666669"/>
  </r>
  <r>
    <s v="Big Data Engineer"/>
    <x v="1"/>
    <x v="1"/>
    <x v="7"/>
    <x v="3"/>
    <x v="3"/>
    <n v="4712422"/>
    <n v="3756466"/>
    <x v="2"/>
    <n v="313038.83333333331"/>
  </r>
  <r>
    <s v="AI Researcher"/>
    <x v="2"/>
    <x v="1"/>
    <x v="6"/>
    <x v="3"/>
    <x v="3"/>
    <n v="2731233"/>
    <n v="2217944"/>
    <x v="1"/>
    <n v="184828.66666666666"/>
  </r>
  <r>
    <s v="Analytics Consultant"/>
    <x v="1"/>
    <x v="0"/>
    <x v="7"/>
    <x v="1"/>
    <x v="3"/>
    <n v="2652451"/>
    <n v="2124645"/>
    <x v="0"/>
    <n v="177053.75"/>
  </r>
  <r>
    <s v="AI Researcher"/>
    <x v="2"/>
    <x v="0"/>
    <x v="7"/>
    <x v="6"/>
    <x v="3"/>
    <n v="3157840"/>
    <n v="2333497"/>
    <x v="1"/>
    <n v="194458.08333333334"/>
  </r>
  <r>
    <s v="AI/ML Engineer"/>
    <x v="0"/>
    <x v="0"/>
    <x v="8"/>
    <x v="5"/>
    <x v="1"/>
    <n v="1220222"/>
    <n v="890817"/>
    <x v="1"/>
    <n v="74234.75"/>
  </r>
  <r>
    <s v="Data Scientist"/>
    <x v="2"/>
    <x v="1"/>
    <x v="3"/>
    <x v="1"/>
    <x v="0"/>
    <n v="1813663"/>
    <n v="1385631"/>
    <x v="2"/>
    <n v="115469.25"/>
  </r>
  <r>
    <s v="AI Researcher"/>
    <x v="2"/>
    <x v="0"/>
    <x v="0"/>
    <x v="0"/>
    <x v="0"/>
    <n v="3085767"/>
    <n v="2509295"/>
    <x v="1"/>
    <n v="209107.91666666666"/>
  </r>
  <r>
    <s v="Data Analyst"/>
    <x v="0"/>
    <x v="0"/>
    <x v="5"/>
    <x v="3"/>
    <x v="3"/>
    <n v="635108"/>
    <n v="507079"/>
    <x v="0"/>
    <n v="42256.583333333336"/>
  </r>
  <r>
    <s v="Data Analyst"/>
    <x v="0"/>
    <x v="1"/>
    <x v="5"/>
    <x v="2"/>
    <x v="0"/>
    <n v="560941"/>
    <n v="447709"/>
    <x v="0"/>
    <n v="37309.083333333336"/>
  </r>
  <r>
    <s v="Analytics Consultant"/>
    <x v="1"/>
    <x v="0"/>
    <x v="7"/>
    <x v="1"/>
    <x v="0"/>
    <n v="4054640"/>
    <n v="3010897"/>
    <x v="0"/>
    <n v="250908.08333333334"/>
  </r>
  <r>
    <s v="AI Researcher"/>
    <x v="1"/>
    <x v="0"/>
    <x v="7"/>
    <x v="1"/>
    <x v="0"/>
    <n v="5278543"/>
    <n v="4182383"/>
    <x v="1"/>
    <n v="348531.91666666669"/>
  </r>
  <r>
    <s v="Analytics Consultant"/>
    <x v="2"/>
    <x v="0"/>
    <x v="0"/>
    <x v="0"/>
    <x v="0"/>
    <n v="1233990"/>
    <n v="1007677"/>
    <x v="0"/>
    <n v="83973.083333333328"/>
  </r>
  <r>
    <s v="Data Analyst"/>
    <x v="2"/>
    <x v="0"/>
    <x v="8"/>
    <x v="0"/>
    <x v="1"/>
    <n v="1372213"/>
    <n v="1113998"/>
    <x v="0"/>
    <n v="92833.166666666672"/>
  </r>
  <r>
    <s v="AI/ML Engineer"/>
    <x v="2"/>
    <x v="0"/>
    <x v="7"/>
    <x v="5"/>
    <x v="3"/>
    <n v="2424694"/>
    <n v="1906901"/>
    <x v="1"/>
    <n v="158908.41666666666"/>
  </r>
  <r>
    <s v="Data Analyst"/>
    <x v="2"/>
    <x v="1"/>
    <x v="5"/>
    <x v="5"/>
    <x v="0"/>
    <n v="862082"/>
    <n v="661741"/>
    <x v="0"/>
    <n v="55145.083333333336"/>
  </r>
  <r>
    <s v="AI/ML Engineer"/>
    <x v="2"/>
    <x v="1"/>
    <x v="5"/>
    <x v="1"/>
    <x v="2"/>
    <n v="1544233"/>
    <n v="1089989"/>
    <x v="1"/>
    <n v="90832.416666666672"/>
  </r>
  <r>
    <s v="Data Analyst"/>
    <x v="0"/>
    <x v="0"/>
    <x v="6"/>
    <x v="5"/>
    <x v="2"/>
    <n v="479731"/>
    <n v="359681"/>
    <x v="0"/>
    <n v="29973.416666666668"/>
  </r>
  <r>
    <s v="Data Scientist"/>
    <x v="0"/>
    <x v="1"/>
    <x v="7"/>
    <x v="4"/>
    <x v="0"/>
    <n v="776537"/>
    <n v="550969"/>
    <x v="2"/>
    <n v="45914.083333333336"/>
  </r>
  <r>
    <s v="Big Data Engineer"/>
    <x v="1"/>
    <x v="1"/>
    <x v="5"/>
    <x v="4"/>
    <x v="0"/>
    <n v="3735230"/>
    <n v="2879241"/>
    <x v="2"/>
    <n v="239936.75"/>
  </r>
  <r>
    <s v="Analytics Consultant"/>
    <x v="2"/>
    <x v="0"/>
    <x v="1"/>
    <x v="3"/>
    <x v="2"/>
    <n v="1288041"/>
    <n v="901949"/>
    <x v="0"/>
    <n v="75162.416666666672"/>
  </r>
  <r>
    <s v="Data Scientist"/>
    <x v="2"/>
    <x v="1"/>
    <x v="7"/>
    <x v="2"/>
    <x v="2"/>
    <n v="1795317"/>
    <n v="1338990"/>
    <x v="2"/>
    <n v="111582.5"/>
  </r>
  <r>
    <s v="Data Analyst"/>
    <x v="2"/>
    <x v="1"/>
    <x v="2"/>
    <x v="5"/>
    <x v="1"/>
    <n v="1745811"/>
    <n v="1291674"/>
    <x v="0"/>
    <n v="107639.5"/>
  </r>
  <r>
    <s v="Big Data Engineer"/>
    <x v="2"/>
    <x v="0"/>
    <x v="3"/>
    <x v="1"/>
    <x v="3"/>
    <n v="1617072"/>
    <n v="1193626"/>
    <x v="2"/>
    <n v="99468.833333333328"/>
  </r>
  <r>
    <s v="Big Data Engineer"/>
    <x v="2"/>
    <x v="1"/>
    <x v="5"/>
    <x v="4"/>
    <x v="1"/>
    <n v="1322876"/>
    <n v="1060138"/>
    <x v="2"/>
    <n v="88344.833333333328"/>
  </r>
  <r>
    <s v="AI Researcher"/>
    <x v="2"/>
    <x v="0"/>
    <x v="3"/>
    <x v="6"/>
    <x v="2"/>
    <n v="2046251"/>
    <n v="1466390"/>
    <x v="1"/>
    <n v="122199.16666666667"/>
  </r>
  <r>
    <s v="AI Researcher"/>
    <x v="1"/>
    <x v="0"/>
    <x v="6"/>
    <x v="3"/>
    <x v="1"/>
    <n v="5301408"/>
    <n v="4049700"/>
    <x v="1"/>
    <n v="337475"/>
  </r>
  <r>
    <s v="Data Scientist"/>
    <x v="0"/>
    <x v="0"/>
    <x v="5"/>
    <x v="5"/>
    <x v="1"/>
    <n v="470812"/>
    <n v="352751"/>
    <x v="2"/>
    <n v="29395.916666666668"/>
  </r>
  <r>
    <s v="AI Researcher"/>
    <x v="1"/>
    <x v="0"/>
    <x v="0"/>
    <x v="5"/>
    <x v="2"/>
    <n v="5663328"/>
    <n v="4471430"/>
    <x v="1"/>
    <n v="372619.16666666669"/>
  </r>
  <r>
    <s v="Data Analyst"/>
    <x v="2"/>
    <x v="1"/>
    <x v="5"/>
    <x v="2"/>
    <x v="3"/>
    <n v="1763512"/>
    <n v="1291769"/>
    <x v="0"/>
    <n v="107647.41666666667"/>
  </r>
  <r>
    <s v="Analytics Consultant"/>
    <x v="1"/>
    <x v="0"/>
    <x v="2"/>
    <x v="3"/>
    <x v="1"/>
    <n v="4438451"/>
    <n v="3207778"/>
    <x v="0"/>
    <n v="267314.83333333331"/>
  </r>
  <r>
    <s v="Big Data Engineer"/>
    <x v="0"/>
    <x v="1"/>
    <x v="8"/>
    <x v="5"/>
    <x v="2"/>
    <n v="639562"/>
    <n v="464336"/>
    <x v="2"/>
    <n v="38694.666666666664"/>
  </r>
  <r>
    <s v="Data Scientist"/>
    <x v="1"/>
    <x v="1"/>
    <x v="1"/>
    <x v="6"/>
    <x v="3"/>
    <n v="3272024"/>
    <n v="2329585"/>
    <x v="2"/>
    <n v="194132.08333333334"/>
  </r>
  <r>
    <s v="AI Researcher"/>
    <x v="1"/>
    <x v="1"/>
    <x v="0"/>
    <x v="1"/>
    <x v="3"/>
    <n v="3664673"/>
    <n v="2960385"/>
    <x v="1"/>
    <n v="246698.75"/>
  </r>
  <r>
    <s v="Analytics Consultant"/>
    <x v="0"/>
    <x v="0"/>
    <x v="4"/>
    <x v="5"/>
    <x v="3"/>
    <n v="887409"/>
    <n v="640080"/>
    <x v="0"/>
    <n v="53340"/>
  </r>
  <r>
    <s v="Data Analyst"/>
    <x v="0"/>
    <x v="1"/>
    <x v="7"/>
    <x v="4"/>
    <x v="2"/>
    <n v="351666"/>
    <n v="271929"/>
    <x v="0"/>
    <n v="22660.75"/>
  </r>
  <r>
    <s v="Analytics Consultant"/>
    <x v="0"/>
    <x v="0"/>
    <x v="2"/>
    <x v="3"/>
    <x v="3"/>
    <n v="658511"/>
    <n v="497299"/>
    <x v="0"/>
    <n v="41441.583333333336"/>
  </r>
  <r>
    <s v="Analytics Consultant"/>
    <x v="0"/>
    <x v="1"/>
    <x v="2"/>
    <x v="6"/>
    <x v="0"/>
    <n v="799046"/>
    <n v="632654"/>
    <x v="0"/>
    <n v="52721.166666666664"/>
  </r>
  <r>
    <s v="AI Researcher"/>
    <x v="0"/>
    <x v="1"/>
    <x v="0"/>
    <x v="3"/>
    <x v="2"/>
    <n v="1463354"/>
    <n v="1172181"/>
    <x v="1"/>
    <n v="97681.75"/>
  </r>
  <r>
    <s v="Data Scientist"/>
    <x v="1"/>
    <x v="0"/>
    <x v="3"/>
    <x v="1"/>
    <x v="2"/>
    <n v="3618987"/>
    <n v="2718072"/>
    <x v="2"/>
    <n v="226506"/>
  </r>
  <r>
    <s v="Analytics Consultant"/>
    <x v="0"/>
    <x v="0"/>
    <x v="1"/>
    <x v="1"/>
    <x v="0"/>
    <n v="1109968"/>
    <n v="777266"/>
    <x v="0"/>
    <n v="64772.166666666664"/>
  </r>
  <r>
    <s v="AI Researcher"/>
    <x v="2"/>
    <x v="0"/>
    <x v="7"/>
    <x v="2"/>
    <x v="1"/>
    <n v="1675446"/>
    <n v="1217438"/>
    <x v="1"/>
    <n v="101453.16666666667"/>
  </r>
  <r>
    <s v="Data Analyst"/>
    <x v="1"/>
    <x v="1"/>
    <x v="6"/>
    <x v="3"/>
    <x v="3"/>
    <n v="2806931"/>
    <n v="2111804"/>
    <x v="0"/>
    <n v="175983.66666666666"/>
  </r>
  <r>
    <s v="AI/ML Engineer"/>
    <x v="2"/>
    <x v="0"/>
    <x v="6"/>
    <x v="1"/>
    <x v="0"/>
    <n v="1672226"/>
    <n v="1354732"/>
    <x v="1"/>
    <n v="112894.33333333333"/>
  </r>
  <r>
    <s v="Data Analyst"/>
    <x v="2"/>
    <x v="1"/>
    <x v="1"/>
    <x v="0"/>
    <x v="0"/>
    <n v="825114"/>
    <n v="636330"/>
    <x v="0"/>
    <n v="53027.5"/>
  </r>
  <r>
    <s v="Data Analyst"/>
    <x v="1"/>
    <x v="0"/>
    <x v="5"/>
    <x v="5"/>
    <x v="2"/>
    <n v="2089833"/>
    <n v="1675576"/>
    <x v="0"/>
    <n v="139631.33333333334"/>
  </r>
  <r>
    <s v="Data Analyst"/>
    <x v="1"/>
    <x v="1"/>
    <x v="8"/>
    <x v="6"/>
    <x v="2"/>
    <n v="2479699"/>
    <n v="1854164"/>
    <x v="0"/>
    <n v="154513.66666666666"/>
  </r>
  <r>
    <s v="Data Scientist"/>
    <x v="0"/>
    <x v="0"/>
    <x v="1"/>
    <x v="0"/>
    <x v="3"/>
    <n v="410421"/>
    <n v="312718"/>
    <x v="2"/>
    <n v="26059.833333333332"/>
  </r>
  <r>
    <s v="AI/ML Engineer"/>
    <x v="1"/>
    <x v="1"/>
    <x v="6"/>
    <x v="2"/>
    <x v="2"/>
    <n v="3319775"/>
    <n v="2458472"/>
    <x v="1"/>
    <n v="204872.66666666666"/>
  </r>
  <r>
    <s v="AI Researcher"/>
    <x v="0"/>
    <x v="1"/>
    <x v="8"/>
    <x v="3"/>
    <x v="0"/>
    <n v="870900"/>
    <n v="700304"/>
    <x v="1"/>
    <n v="58358.666666666664"/>
  </r>
  <r>
    <s v="AI/ML Engineer"/>
    <x v="2"/>
    <x v="0"/>
    <x v="3"/>
    <x v="5"/>
    <x v="2"/>
    <n v="1807729"/>
    <n v="1380196"/>
    <x v="1"/>
    <n v="115016.33333333333"/>
  </r>
  <r>
    <s v="Data Analyst"/>
    <x v="2"/>
    <x v="1"/>
    <x v="5"/>
    <x v="4"/>
    <x v="1"/>
    <n v="1302488"/>
    <n v="1041777"/>
    <x v="0"/>
    <n v="86814.75"/>
  </r>
  <r>
    <s v="Big Data Engineer"/>
    <x v="2"/>
    <x v="0"/>
    <x v="2"/>
    <x v="4"/>
    <x v="2"/>
    <n v="1572756"/>
    <n v="1256386"/>
    <x v="2"/>
    <n v="104698.83333333333"/>
  </r>
  <r>
    <s v="Data Scientist"/>
    <x v="1"/>
    <x v="0"/>
    <x v="4"/>
    <x v="5"/>
    <x v="2"/>
    <n v="3908868"/>
    <n v="2978963"/>
    <x v="2"/>
    <n v="248246.91666666666"/>
  </r>
  <r>
    <s v="Data Scientist"/>
    <x v="1"/>
    <x v="1"/>
    <x v="3"/>
    <x v="3"/>
    <x v="3"/>
    <n v="5858335"/>
    <n v="4347488"/>
    <x v="2"/>
    <n v="362290.66666666669"/>
  </r>
  <r>
    <s v="AI Researcher"/>
    <x v="2"/>
    <x v="0"/>
    <x v="4"/>
    <x v="4"/>
    <x v="0"/>
    <n v="2752020"/>
    <n v="2143967"/>
    <x v="1"/>
    <n v="178663.91666666666"/>
  </r>
  <r>
    <s v="Data Analyst"/>
    <x v="2"/>
    <x v="0"/>
    <x v="3"/>
    <x v="0"/>
    <x v="2"/>
    <n v="1212074"/>
    <n v="857738"/>
    <x v="0"/>
    <n v="71478.166666666672"/>
  </r>
  <r>
    <s v="AI/ML Engineer"/>
    <x v="1"/>
    <x v="1"/>
    <x v="2"/>
    <x v="6"/>
    <x v="1"/>
    <n v="3586103"/>
    <n v="2569969"/>
    <x v="1"/>
    <n v="214164.08333333334"/>
  </r>
  <r>
    <s v="AI/ML Engineer"/>
    <x v="2"/>
    <x v="0"/>
    <x v="2"/>
    <x v="5"/>
    <x v="1"/>
    <n v="1597760"/>
    <n v="1269178"/>
    <x v="1"/>
    <n v="105764.83333333333"/>
  </r>
  <r>
    <s v="Data Scientist"/>
    <x v="1"/>
    <x v="0"/>
    <x v="8"/>
    <x v="3"/>
    <x v="2"/>
    <n v="5218145"/>
    <n v="3958245"/>
    <x v="2"/>
    <n v="329853.75"/>
  </r>
  <r>
    <s v="Analytics Consultant"/>
    <x v="2"/>
    <x v="0"/>
    <x v="7"/>
    <x v="5"/>
    <x v="2"/>
    <n v="1409799"/>
    <n v="1002576"/>
    <x v="0"/>
    <n v="83548"/>
  </r>
  <r>
    <s v="Big Data Engineer"/>
    <x v="1"/>
    <x v="0"/>
    <x v="8"/>
    <x v="4"/>
    <x v="0"/>
    <n v="4965757"/>
    <n v="3758653"/>
    <x v="2"/>
    <n v="313221.08333333331"/>
  </r>
  <r>
    <s v="Big Data Engineer"/>
    <x v="0"/>
    <x v="0"/>
    <x v="1"/>
    <x v="3"/>
    <x v="0"/>
    <n v="537951"/>
    <n v="384032"/>
    <x v="2"/>
    <n v="32002.666666666668"/>
  </r>
  <r>
    <s v="Big Data Engineer"/>
    <x v="1"/>
    <x v="0"/>
    <x v="0"/>
    <x v="5"/>
    <x v="1"/>
    <n v="3394787"/>
    <n v="2607450"/>
    <x v="2"/>
    <n v="217287.5"/>
  </r>
  <r>
    <s v="Big Data Engineer"/>
    <x v="0"/>
    <x v="1"/>
    <x v="0"/>
    <x v="6"/>
    <x v="1"/>
    <n v="889058"/>
    <n v="650507"/>
    <x v="2"/>
    <n v="54208.916666666664"/>
  </r>
  <r>
    <s v="AI Researcher"/>
    <x v="1"/>
    <x v="1"/>
    <x v="3"/>
    <x v="1"/>
    <x v="3"/>
    <n v="4296237"/>
    <n v="3166753"/>
    <x v="1"/>
    <n v="263896.08333333331"/>
  </r>
  <r>
    <s v="Data Scientist"/>
    <x v="1"/>
    <x v="1"/>
    <x v="8"/>
    <x v="0"/>
    <x v="3"/>
    <n v="5962296"/>
    <n v="4207197"/>
    <x v="2"/>
    <n v="350599.75"/>
  </r>
  <r>
    <s v="Big Data Engineer"/>
    <x v="0"/>
    <x v="1"/>
    <x v="6"/>
    <x v="0"/>
    <x v="1"/>
    <n v="1092946"/>
    <n v="880286"/>
    <x v="2"/>
    <n v="73357.166666666672"/>
  </r>
  <r>
    <s v="Big Data Engineer"/>
    <x v="2"/>
    <x v="0"/>
    <x v="7"/>
    <x v="1"/>
    <x v="3"/>
    <n v="2204845"/>
    <n v="1728423"/>
    <x v="2"/>
    <n v="144035.25"/>
  </r>
  <r>
    <s v="AI/ML Engineer"/>
    <x v="1"/>
    <x v="0"/>
    <x v="5"/>
    <x v="5"/>
    <x v="1"/>
    <n v="4010288"/>
    <n v="3001195"/>
    <x v="1"/>
    <n v="250099.58333333334"/>
  </r>
  <r>
    <s v="Data Analyst"/>
    <x v="1"/>
    <x v="1"/>
    <x v="3"/>
    <x v="5"/>
    <x v="1"/>
    <n v="3280128"/>
    <n v="2597844"/>
    <x v="0"/>
    <n v="216487"/>
  </r>
  <r>
    <s v="Big Data Engineer"/>
    <x v="2"/>
    <x v="1"/>
    <x v="7"/>
    <x v="1"/>
    <x v="3"/>
    <n v="2410266"/>
    <n v="1843778"/>
    <x v="2"/>
    <n v="153648.16666666666"/>
  </r>
  <r>
    <s v="Data Analyst"/>
    <x v="1"/>
    <x v="0"/>
    <x v="6"/>
    <x v="3"/>
    <x v="3"/>
    <n v="2829608"/>
    <n v="2271849"/>
    <x v="0"/>
    <n v="189320.75"/>
  </r>
  <r>
    <s v="Big Data Engineer"/>
    <x v="2"/>
    <x v="0"/>
    <x v="1"/>
    <x v="4"/>
    <x v="0"/>
    <n v="1663280"/>
    <n v="1265559"/>
    <x v="2"/>
    <n v="105463.25"/>
  </r>
  <r>
    <s v="Analytics Consultant"/>
    <x v="1"/>
    <x v="0"/>
    <x v="6"/>
    <x v="2"/>
    <x v="2"/>
    <n v="4446196"/>
    <n v="3211725"/>
    <x v="0"/>
    <n v="267643.75"/>
  </r>
  <r>
    <s v="Data Scientist"/>
    <x v="0"/>
    <x v="0"/>
    <x v="8"/>
    <x v="5"/>
    <x v="0"/>
    <n v="878837"/>
    <n v="645543"/>
    <x v="2"/>
    <n v="53795.25"/>
  </r>
  <r>
    <s v="AI/ML Engineer"/>
    <x v="2"/>
    <x v="0"/>
    <x v="0"/>
    <x v="5"/>
    <x v="3"/>
    <n v="2987531"/>
    <n v="2133127"/>
    <x v="1"/>
    <n v="177760.58333333334"/>
  </r>
  <r>
    <s v="Data Analyst"/>
    <x v="0"/>
    <x v="0"/>
    <x v="1"/>
    <x v="2"/>
    <x v="2"/>
    <n v="505189"/>
    <n v="390742"/>
    <x v="0"/>
    <n v="32561.833333333332"/>
  </r>
  <r>
    <s v="Data Analyst"/>
    <x v="1"/>
    <x v="1"/>
    <x v="1"/>
    <x v="0"/>
    <x v="3"/>
    <n v="3248727"/>
    <n v="2411196"/>
    <x v="0"/>
    <n v="200933"/>
  </r>
  <r>
    <s v="AI/ML Engineer"/>
    <x v="0"/>
    <x v="1"/>
    <x v="6"/>
    <x v="3"/>
    <x v="0"/>
    <n v="1142339"/>
    <n v="848186"/>
    <x v="1"/>
    <n v="70682.166666666672"/>
  </r>
  <r>
    <s v="Data Analyst"/>
    <x v="1"/>
    <x v="0"/>
    <x v="3"/>
    <x v="6"/>
    <x v="3"/>
    <n v="3275568"/>
    <n v="2479404"/>
    <x v="0"/>
    <n v="206617"/>
  </r>
  <r>
    <s v="AI Researcher"/>
    <x v="1"/>
    <x v="1"/>
    <x v="2"/>
    <x v="1"/>
    <x v="1"/>
    <n v="3508980"/>
    <n v="2658346"/>
    <x v="1"/>
    <n v="221528.83333333334"/>
  </r>
  <r>
    <s v="Data Analyst"/>
    <x v="1"/>
    <x v="1"/>
    <x v="2"/>
    <x v="4"/>
    <x v="1"/>
    <n v="3459175"/>
    <n v="2433406"/>
    <x v="0"/>
    <n v="202783.83333333334"/>
  </r>
  <r>
    <s v="Data Scientist"/>
    <x v="0"/>
    <x v="0"/>
    <x v="4"/>
    <x v="5"/>
    <x v="0"/>
    <n v="793483"/>
    <n v="593714"/>
    <x v="2"/>
    <n v="49476.166666666664"/>
  </r>
  <r>
    <s v="Data Scientist"/>
    <x v="1"/>
    <x v="1"/>
    <x v="3"/>
    <x v="1"/>
    <x v="2"/>
    <n v="5162227"/>
    <n v="4180632"/>
    <x v="2"/>
    <n v="348386"/>
  </r>
  <r>
    <s v="Analytics Consultant"/>
    <x v="0"/>
    <x v="0"/>
    <x v="2"/>
    <x v="6"/>
    <x v="1"/>
    <n v="861322"/>
    <n v="628167"/>
    <x v="0"/>
    <n v="52347.25"/>
  </r>
  <r>
    <s v="Data Analyst"/>
    <x v="2"/>
    <x v="1"/>
    <x v="5"/>
    <x v="5"/>
    <x v="3"/>
    <n v="1178315"/>
    <n v="842810"/>
    <x v="0"/>
    <n v="70234.166666666672"/>
  </r>
  <r>
    <s v="Analytics Consultant"/>
    <x v="2"/>
    <x v="0"/>
    <x v="4"/>
    <x v="3"/>
    <x v="3"/>
    <n v="1547681"/>
    <n v="1262348"/>
    <x v="0"/>
    <n v="105195.66666666667"/>
  </r>
  <r>
    <s v="AI/ML Engineer"/>
    <x v="2"/>
    <x v="1"/>
    <x v="6"/>
    <x v="0"/>
    <x v="3"/>
    <n v="2112492"/>
    <n v="1606093"/>
    <x v="1"/>
    <n v="133841.08333333334"/>
  </r>
  <r>
    <s v="Big Data Engineer"/>
    <x v="2"/>
    <x v="0"/>
    <x v="7"/>
    <x v="4"/>
    <x v="1"/>
    <n v="1252401"/>
    <n v="995896"/>
    <x v="2"/>
    <n v="82991.333333333328"/>
  </r>
  <r>
    <s v="AI Researcher"/>
    <x v="1"/>
    <x v="0"/>
    <x v="4"/>
    <x v="0"/>
    <x v="3"/>
    <n v="5297457"/>
    <n v="4094847"/>
    <x v="1"/>
    <n v="341237.25"/>
  </r>
  <r>
    <s v="AI Researcher"/>
    <x v="1"/>
    <x v="0"/>
    <x v="3"/>
    <x v="4"/>
    <x v="3"/>
    <n v="6352084"/>
    <n v="5087749"/>
    <x v="1"/>
    <n v="423979.08333333331"/>
  </r>
  <r>
    <s v="AI Researcher"/>
    <x v="2"/>
    <x v="0"/>
    <x v="0"/>
    <x v="5"/>
    <x v="1"/>
    <n v="2361556"/>
    <n v="1806116"/>
    <x v="1"/>
    <n v="150509.66666666666"/>
  </r>
  <r>
    <s v="Analytics Consultant"/>
    <x v="0"/>
    <x v="0"/>
    <x v="8"/>
    <x v="3"/>
    <x v="1"/>
    <n v="1087922"/>
    <n v="802195"/>
    <x v="0"/>
    <n v="66849.583333333328"/>
  </r>
  <r>
    <s v="AI Researcher"/>
    <x v="0"/>
    <x v="1"/>
    <x v="4"/>
    <x v="2"/>
    <x v="3"/>
    <n v="1593060"/>
    <n v="1263982"/>
    <x v="1"/>
    <n v="105331.83333333333"/>
  </r>
  <r>
    <s v="AI/ML Engineer"/>
    <x v="1"/>
    <x v="1"/>
    <x v="3"/>
    <x v="1"/>
    <x v="0"/>
    <n v="4503216"/>
    <n v="3305180"/>
    <x v="1"/>
    <n v="275431.66666666669"/>
  </r>
  <r>
    <s v="AI Researcher"/>
    <x v="0"/>
    <x v="1"/>
    <x v="8"/>
    <x v="2"/>
    <x v="1"/>
    <n v="1316351"/>
    <n v="983479"/>
    <x v="1"/>
    <n v="81956.583333333328"/>
  </r>
  <r>
    <s v="Data Scientist"/>
    <x v="2"/>
    <x v="1"/>
    <x v="2"/>
    <x v="4"/>
    <x v="3"/>
    <n v="2246442"/>
    <n v="1615859"/>
    <x v="2"/>
    <n v="134654.91666666666"/>
  </r>
  <r>
    <s v="Big Data Engineer"/>
    <x v="2"/>
    <x v="1"/>
    <x v="1"/>
    <x v="0"/>
    <x v="0"/>
    <n v="2150930"/>
    <n v="1706372"/>
    <x v="2"/>
    <n v="142197.66666666666"/>
  </r>
  <r>
    <s v="Analytics Consultant"/>
    <x v="1"/>
    <x v="1"/>
    <x v="1"/>
    <x v="5"/>
    <x v="3"/>
    <n v="2893868"/>
    <n v="2350854"/>
    <x v="0"/>
    <n v="195904.5"/>
  </r>
  <r>
    <s v="Analytics Consultant"/>
    <x v="0"/>
    <x v="0"/>
    <x v="8"/>
    <x v="5"/>
    <x v="0"/>
    <n v="1189304"/>
    <n v="834479"/>
    <x v="0"/>
    <n v="69539.916666666672"/>
  </r>
  <r>
    <s v="Data Analyst"/>
    <x v="0"/>
    <x v="0"/>
    <x v="1"/>
    <x v="1"/>
    <x v="0"/>
    <n v="783568"/>
    <n v="566390"/>
    <x v="0"/>
    <n v="47199.166666666664"/>
  </r>
  <r>
    <s v="Big Data Engineer"/>
    <x v="2"/>
    <x v="0"/>
    <x v="7"/>
    <x v="5"/>
    <x v="2"/>
    <n v="1777034"/>
    <n v="1316193"/>
    <x v="2"/>
    <n v="109682.75"/>
  </r>
  <r>
    <s v="Data Scientist"/>
    <x v="1"/>
    <x v="0"/>
    <x v="8"/>
    <x v="1"/>
    <x v="0"/>
    <n v="5900700"/>
    <n v="4442779"/>
    <x v="2"/>
    <n v="370231.58333333331"/>
  </r>
  <r>
    <s v="Data Analyst"/>
    <x v="0"/>
    <x v="0"/>
    <x v="1"/>
    <x v="0"/>
    <x v="3"/>
    <n v="610977"/>
    <n v="437003"/>
    <x v="0"/>
    <n v="36416.916666666664"/>
  </r>
  <r>
    <s v="Big Data Engineer"/>
    <x v="1"/>
    <x v="0"/>
    <x v="1"/>
    <x v="6"/>
    <x v="2"/>
    <n v="3396218"/>
    <n v="2395176"/>
    <x v="2"/>
    <n v="199598"/>
  </r>
  <r>
    <s v="AI Researcher"/>
    <x v="1"/>
    <x v="0"/>
    <x v="6"/>
    <x v="2"/>
    <x v="1"/>
    <n v="4167211"/>
    <n v="3014420"/>
    <x v="1"/>
    <n v="251201.66666666666"/>
  </r>
  <r>
    <s v="Analytics Consultant"/>
    <x v="0"/>
    <x v="0"/>
    <x v="6"/>
    <x v="3"/>
    <x v="0"/>
    <n v="824354"/>
    <n v="628721"/>
    <x v="0"/>
    <n v="52393.416666666664"/>
  </r>
  <r>
    <s v="AI Researcher"/>
    <x v="1"/>
    <x v="0"/>
    <x v="5"/>
    <x v="6"/>
    <x v="1"/>
    <n v="5094705"/>
    <n v="3825003"/>
    <x v="1"/>
    <n v="318750.25"/>
  </r>
  <r>
    <s v="AI Researcher"/>
    <x v="0"/>
    <x v="0"/>
    <x v="4"/>
    <x v="2"/>
    <x v="1"/>
    <n v="1425713"/>
    <n v="1081890"/>
    <x v="1"/>
    <n v="90157.5"/>
  </r>
  <r>
    <s v="Big Data Engineer"/>
    <x v="2"/>
    <x v="1"/>
    <x v="4"/>
    <x v="2"/>
    <x v="0"/>
    <n v="1365422"/>
    <n v="1109252"/>
    <x v="2"/>
    <n v="92437.666666666672"/>
  </r>
  <r>
    <s v="AI/ML Engineer"/>
    <x v="2"/>
    <x v="1"/>
    <x v="5"/>
    <x v="3"/>
    <x v="2"/>
    <n v="2293278"/>
    <n v="1685494"/>
    <x v="1"/>
    <n v="140457.83333333334"/>
  </r>
  <r>
    <s v="Analytics Consultant"/>
    <x v="1"/>
    <x v="1"/>
    <x v="4"/>
    <x v="4"/>
    <x v="2"/>
    <n v="4296344"/>
    <n v="3013869"/>
    <x v="0"/>
    <n v="251155.75"/>
  </r>
  <r>
    <s v="Big Data Engineer"/>
    <x v="2"/>
    <x v="1"/>
    <x v="5"/>
    <x v="4"/>
    <x v="1"/>
    <n v="1247728"/>
    <n v="975163"/>
    <x v="2"/>
    <n v="81263.583333333328"/>
  </r>
  <r>
    <s v="AI/ML Engineer"/>
    <x v="0"/>
    <x v="1"/>
    <x v="3"/>
    <x v="6"/>
    <x v="2"/>
    <n v="1199731"/>
    <n v="862003"/>
    <x v="1"/>
    <n v="71833.583333333328"/>
  </r>
  <r>
    <s v="Big Data Engineer"/>
    <x v="0"/>
    <x v="0"/>
    <x v="5"/>
    <x v="3"/>
    <x v="3"/>
    <n v="707300"/>
    <n v="507353"/>
    <x v="2"/>
    <n v="42279.416666666664"/>
  </r>
  <r>
    <s v="AI Researcher"/>
    <x v="0"/>
    <x v="0"/>
    <x v="7"/>
    <x v="0"/>
    <x v="1"/>
    <n v="951928"/>
    <n v="692350"/>
    <x v="1"/>
    <n v="57695.833333333336"/>
  </r>
  <r>
    <s v="AI Researcher"/>
    <x v="0"/>
    <x v="1"/>
    <x v="5"/>
    <x v="4"/>
    <x v="2"/>
    <n v="1184094"/>
    <n v="938830"/>
    <x v="1"/>
    <n v="78235.833333333328"/>
  </r>
  <r>
    <s v="Analytics Consultant"/>
    <x v="2"/>
    <x v="1"/>
    <x v="1"/>
    <x v="2"/>
    <x v="2"/>
    <n v="1716570"/>
    <n v="1231425"/>
    <x v="0"/>
    <n v="102618.75"/>
  </r>
  <r>
    <s v="Data Analyst"/>
    <x v="1"/>
    <x v="1"/>
    <x v="8"/>
    <x v="2"/>
    <x v="2"/>
    <n v="2965628"/>
    <n v="2203330"/>
    <x v="0"/>
    <n v="183610.83333333334"/>
  </r>
  <r>
    <s v="AI Researcher"/>
    <x v="1"/>
    <x v="0"/>
    <x v="2"/>
    <x v="1"/>
    <x v="1"/>
    <n v="4624945"/>
    <n v="3709156"/>
    <x v="1"/>
    <n v="309096.33333333331"/>
  </r>
  <r>
    <s v="Analytics Consultant"/>
    <x v="2"/>
    <x v="0"/>
    <x v="0"/>
    <x v="1"/>
    <x v="0"/>
    <n v="2372860"/>
    <n v="1665616"/>
    <x v="0"/>
    <n v="138801.33333333334"/>
  </r>
  <r>
    <s v="AI/ML Engineer"/>
    <x v="2"/>
    <x v="1"/>
    <x v="0"/>
    <x v="4"/>
    <x v="1"/>
    <n v="2779514"/>
    <n v="2277099"/>
    <x v="1"/>
    <n v="189758.25"/>
  </r>
  <r>
    <s v="Analytics Consultant"/>
    <x v="2"/>
    <x v="0"/>
    <x v="1"/>
    <x v="6"/>
    <x v="1"/>
    <n v="1943863"/>
    <n v="1552072"/>
    <x v="0"/>
    <n v="129339.33333333333"/>
  </r>
  <r>
    <s v="Data Scientist"/>
    <x v="1"/>
    <x v="0"/>
    <x v="3"/>
    <x v="6"/>
    <x v="2"/>
    <n v="5547558"/>
    <n v="4344204"/>
    <x v="2"/>
    <n v="362017"/>
  </r>
  <r>
    <s v="Big Data Engineer"/>
    <x v="2"/>
    <x v="1"/>
    <x v="6"/>
    <x v="1"/>
    <x v="0"/>
    <n v="1474350"/>
    <n v="1126812"/>
    <x v="2"/>
    <n v="93901"/>
  </r>
  <r>
    <s v="Big Data Engineer"/>
    <x v="1"/>
    <x v="0"/>
    <x v="0"/>
    <x v="0"/>
    <x v="0"/>
    <n v="2815035"/>
    <n v="2066248"/>
    <x v="2"/>
    <n v="172187.33333333334"/>
  </r>
  <r>
    <s v="AI/ML Engineer"/>
    <x v="1"/>
    <x v="1"/>
    <x v="4"/>
    <x v="5"/>
    <x v="3"/>
    <n v="5327330"/>
    <n v="3999435"/>
    <x v="1"/>
    <n v="333286.25"/>
  </r>
  <r>
    <s v="Big Data Engineer"/>
    <x v="1"/>
    <x v="0"/>
    <x v="1"/>
    <x v="1"/>
    <x v="1"/>
    <n v="5211849"/>
    <n v="3970994"/>
    <x v="2"/>
    <n v="330916.16666666669"/>
  </r>
  <r>
    <s v="Data Scientist"/>
    <x v="1"/>
    <x v="0"/>
    <x v="6"/>
    <x v="3"/>
    <x v="2"/>
    <n v="4135447"/>
    <n v="3215661"/>
    <x v="2"/>
    <n v="267971.75"/>
  </r>
  <r>
    <s v="AI/ML Engineer"/>
    <x v="0"/>
    <x v="1"/>
    <x v="8"/>
    <x v="3"/>
    <x v="0"/>
    <n v="849265"/>
    <n v="634024"/>
    <x v="1"/>
    <n v="52835.333333333336"/>
  </r>
  <r>
    <s v="Analytics Consultant"/>
    <x v="1"/>
    <x v="0"/>
    <x v="8"/>
    <x v="4"/>
    <x v="0"/>
    <n v="4886663"/>
    <n v="3694432"/>
    <x v="0"/>
    <n v="307869.33333333331"/>
  </r>
  <r>
    <s v="Analytics Consultant"/>
    <x v="2"/>
    <x v="0"/>
    <x v="0"/>
    <x v="5"/>
    <x v="0"/>
    <n v="1219274"/>
    <n v="874661"/>
    <x v="0"/>
    <n v="72888.416666666672"/>
  </r>
  <r>
    <s v="Big Data Engineer"/>
    <x v="1"/>
    <x v="1"/>
    <x v="3"/>
    <x v="5"/>
    <x v="0"/>
    <n v="3949897"/>
    <n v="3176547"/>
    <x v="2"/>
    <n v="264712.25"/>
  </r>
  <r>
    <s v="AI/ML Engineer"/>
    <x v="1"/>
    <x v="1"/>
    <x v="1"/>
    <x v="5"/>
    <x v="3"/>
    <n v="5138599"/>
    <n v="4152855"/>
    <x v="1"/>
    <n v="346071.25"/>
  </r>
  <r>
    <s v="Analytics Consultant"/>
    <x v="0"/>
    <x v="0"/>
    <x v="0"/>
    <x v="3"/>
    <x v="3"/>
    <n v="900764"/>
    <n v="679785"/>
    <x v="0"/>
    <n v="56648.75"/>
  </r>
  <r>
    <s v="Big Data Engineer"/>
    <x v="1"/>
    <x v="1"/>
    <x v="2"/>
    <x v="6"/>
    <x v="1"/>
    <n v="3588426"/>
    <n v="2605106"/>
    <x v="2"/>
    <n v="217092.16666666666"/>
  </r>
  <r>
    <s v="Analytics Consultant"/>
    <x v="1"/>
    <x v="1"/>
    <x v="1"/>
    <x v="4"/>
    <x v="2"/>
    <n v="3439295"/>
    <n v="2643853"/>
    <x v="0"/>
    <n v="220321.08333333334"/>
  </r>
  <r>
    <s v="AI Researcher"/>
    <x v="0"/>
    <x v="1"/>
    <x v="8"/>
    <x v="4"/>
    <x v="3"/>
    <n v="1291082"/>
    <n v="910018"/>
    <x v="1"/>
    <n v="75834.833333333328"/>
  </r>
  <r>
    <s v="AI Researcher"/>
    <x v="1"/>
    <x v="1"/>
    <x v="7"/>
    <x v="3"/>
    <x v="0"/>
    <n v="4180442"/>
    <n v="3095137"/>
    <x v="1"/>
    <n v="257928.08333333334"/>
  </r>
  <r>
    <s v="AI Researcher"/>
    <x v="2"/>
    <x v="1"/>
    <x v="3"/>
    <x v="2"/>
    <x v="3"/>
    <n v="2159077"/>
    <n v="1764110"/>
    <x v="1"/>
    <n v="147009.16666666666"/>
  </r>
  <r>
    <s v="Data Scientist"/>
    <x v="2"/>
    <x v="0"/>
    <x v="1"/>
    <x v="2"/>
    <x v="1"/>
    <n v="2091626"/>
    <n v="1663523"/>
    <x v="2"/>
    <n v="138626.91666666666"/>
  </r>
  <r>
    <s v="Data Scientist"/>
    <x v="0"/>
    <x v="0"/>
    <x v="5"/>
    <x v="1"/>
    <x v="1"/>
    <n v="688632"/>
    <n v="539653"/>
    <x v="2"/>
    <n v="44971.083333333336"/>
  </r>
  <r>
    <s v="Analytics Consultant"/>
    <x v="0"/>
    <x v="0"/>
    <x v="5"/>
    <x v="0"/>
    <x v="3"/>
    <n v="824363"/>
    <n v="665506"/>
    <x v="0"/>
    <n v="55458.833333333336"/>
  </r>
  <r>
    <s v="Big Data Engineer"/>
    <x v="1"/>
    <x v="0"/>
    <x v="8"/>
    <x v="5"/>
    <x v="0"/>
    <n v="3196433"/>
    <n v="2342710"/>
    <x v="2"/>
    <n v="195225.83333333334"/>
  </r>
  <r>
    <s v="Analytics Consultant"/>
    <x v="2"/>
    <x v="1"/>
    <x v="4"/>
    <x v="1"/>
    <x v="0"/>
    <n v="1229046"/>
    <n v="912709"/>
    <x v="0"/>
    <n v="76059.083333333328"/>
  </r>
  <r>
    <s v="Analytics Consultant"/>
    <x v="1"/>
    <x v="0"/>
    <x v="4"/>
    <x v="5"/>
    <x v="2"/>
    <n v="4250187"/>
    <n v="3160987"/>
    <x v="0"/>
    <n v="263415.58333333331"/>
  </r>
  <r>
    <s v="AI Researcher"/>
    <x v="1"/>
    <x v="1"/>
    <x v="1"/>
    <x v="5"/>
    <x v="1"/>
    <n v="3311413"/>
    <n v="2323240"/>
    <x v="1"/>
    <n v="193603.33333333334"/>
  </r>
  <r>
    <s v="Data Scientist"/>
    <x v="1"/>
    <x v="0"/>
    <x v="8"/>
    <x v="0"/>
    <x v="2"/>
    <n v="2751233"/>
    <n v="2220240"/>
    <x v="2"/>
    <n v="185020"/>
  </r>
  <r>
    <s v="AI Researcher"/>
    <x v="0"/>
    <x v="1"/>
    <x v="8"/>
    <x v="5"/>
    <x v="1"/>
    <n v="1482388"/>
    <n v="1086145"/>
    <x v="1"/>
    <n v="90512.083333333328"/>
  </r>
  <r>
    <s v="Data Analyst"/>
    <x v="1"/>
    <x v="1"/>
    <x v="0"/>
    <x v="4"/>
    <x v="3"/>
    <n v="3307358"/>
    <n v="2553488"/>
    <x v="0"/>
    <n v="212790.66666666666"/>
  </r>
  <r>
    <s v="AI Researcher"/>
    <x v="2"/>
    <x v="1"/>
    <x v="4"/>
    <x v="0"/>
    <x v="3"/>
    <n v="2309372"/>
    <n v="1718585"/>
    <x v="1"/>
    <n v="143215.41666666666"/>
  </r>
  <r>
    <s v="Analytics Consultant"/>
    <x v="1"/>
    <x v="0"/>
    <x v="2"/>
    <x v="6"/>
    <x v="3"/>
    <n v="4164225"/>
    <n v="3137706"/>
    <x v="0"/>
    <n v="261475.5"/>
  </r>
  <r>
    <s v="AI/ML Engineer"/>
    <x v="1"/>
    <x v="1"/>
    <x v="1"/>
    <x v="1"/>
    <x v="3"/>
    <n v="5359169"/>
    <n v="4146240"/>
    <x v="1"/>
    <n v="345520"/>
  </r>
  <r>
    <s v="Analytics Consultant"/>
    <x v="1"/>
    <x v="1"/>
    <x v="8"/>
    <x v="5"/>
    <x v="1"/>
    <n v="2702510"/>
    <n v="2185881"/>
    <x v="0"/>
    <n v="182156.75"/>
  </r>
  <r>
    <s v="Big Data Engineer"/>
    <x v="0"/>
    <x v="1"/>
    <x v="4"/>
    <x v="4"/>
    <x v="1"/>
    <n v="926400"/>
    <n v="757350"/>
    <x v="2"/>
    <n v="63112.5"/>
  </r>
  <r>
    <s v="Data Analyst"/>
    <x v="1"/>
    <x v="0"/>
    <x v="8"/>
    <x v="2"/>
    <x v="0"/>
    <n v="2620917"/>
    <n v="2120357"/>
    <x v="0"/>
    <n v="176696.41666666666"/>
  </r>
  <r>
    <s v="AI Researcher"/>
    <x v="2"/>
    <x v="0"/>
    <x v="8"/>
    <x v="4"/>
    <x v="2"/>
    <n v="2596110"/>
    <n v="2056718"/>
    <x v="1"/>
    <n v="171393.16666666666"/>
  </r>
  <r>
    <s v="Data Scientist"/>
    <x v="1"/>
    <x v="0"/>
    <x v="4"/>
    <x v="1"/>
    <x v="1"/>
    <n v="5198748"/>
    <n v="4178364"/>
    <x v="2"/>
    <n v="348197"/>
  </r>
  <r>
    <s v="Data Scientist"/>
    <x v="2"/>
    <x v="0"/>
    <x v="2"/>
    <x v="3"/>
    <x v="0"/>
    <n v="1427847"/>
    <n v="1147693"/>
    <x v="2"/>
    <n v="95641.083333333328"/>
  </r>
  <r>
    <s v="AI/ML Engineer"/>
    <x v="2"/>
    <x v="0"/>
    <x v="7"/>
    <x v="5"/>
    <x v="3"/>
    <n v="2640146"/>
    <n v="2003926"/>
    <x v="1"/>
    <n v="166993.83333333334"/>
  </r>
  <r>
    <s v="Data Analyst"/>
    <x v="1"/>
    <x v="1"/>
    <x v="5"/>
    <x v="1"/>
    <x v="2"/>
    <n v="3497986"/>
    <n v="2619453"/>
    <x v="0"/>
    <n v="218287.75"/>
  </r>
  <r>
    <s v="Analytics Consultant"/>
    <x v="1"/>
    <x v="1"/>
    <x v="0"/>
    <x v="0"/>
    <x v="1"/>
    <n v="4061502"/>
    <n v="3114706"/>
    <x v="0"/>
    <n v="259558.83333333334"/>
  </r>
  <r>
    <s v="Data Scientist"/>
    <x v="0"/>
    <x v="0"/>
    <x v="7"/>
    <x v="6"/>
    <x v="3"/>
    <n v="1199336"/>
    <n v="858563"/>
    <x v="2"/>
    <n v="71546.916666666672"/>
  </r>
  <r>
    <s v="Big Data Engineer"/>
    <x v="0"/>
    <x v="1"/>
    <x v="6"/>
    <x v="2"/>
    <x v="3"/>
    <n v="661144"/>
    <n v="486658"/>
    <x v="2"/>
    <n v="40554.833333333336"/>
  </r>
  <r>
    <s v="AI Researcher"/>
    <x v="2"/>
    <x v="0"/>
    <x v="7"/>
    <x v="3"/>
    <x v="2"/>
    <n v="1681899"/>
    <n v="1282060"/>
    <x v="1"/>
    <n v="106838.33333333333"/>
  </r>
  <r>
    <s v="Analytics Consultant"/>
    <x v="0"/>
    <x v="1"/>
    <x v="5"/>
    <x v="1"/>
    <x v="1"/>
    <n v="607029"/>
    <n v="491445"/>
    <x v="0"/>
    <n v="40953.75"/>
  </r>
  <r>
    <s v="Big Data Engineer"/>
    <x v="1"/>
    <x v="0"/>
    <x v="4"/>
    <x v="4"/>
    <x v="0"/>
    <n v="3306641"/>
    <n v="2631926"/>
    <x v="2"/>
    <n v="219327.16666666666"/>
  </r>
  <r>
    <s v="Data Analyst"/>
    <x v="2"/>
    <x v="0"/>
    <x v="1"/>
    <x v="2"/>
    <x v="0"/>
    <n v="1551968"/>
    <n v="1261412"/>
    <x v="0"/>
    <n v="105117.66666666667"/>
  </r>
  <r>
    <s v="AI/ML Engineer"/>
    <x v="0"/>
    <x v="0"/>
    <x v="1"/>
    <x v="2"/>
    <x v="0"/>
    <n v="687815"/>
    <n v="488946"/>
    <x v="1"/>
    <n v="40745.5"/>
  </r>
  <r>
    <s v="Analytics Consultant"/>
    <x v="2"/>
    <x v="1"/>
    <x v="7"/>
    <x v="3"/>
    <x v="1"/>
    <n v="1404899"/>
    <n v="1110854"/>
    <x v="0"/>
    <n v="92571.166666666672"/>
  </r>
  <r>
    <s v="Big Data Engineer"/>
    <x v="0"/>
    <x v="0"/>
    <x v="0"/>
    <x v="6"/>
    <x v="2"/>
    <n v="631497"/>
    <n v="486279"/>
    <x v="2"/>
    <n v="40523.25"/>
  </r>
  <r>
    <s v="AI Researcher"/>
    <x v="1"/>
    <x v="1"/>
    <x v="5"/>
    <x v="2"/>
    <x v="3"/>
    <n v="3657089"/>
    <n v="2871628"/>
    <x v="1"/>
    <n v="239302.33333333334"/>
  </r>
  <r>
    <s v="Big Data Engineer"/>
    <x v="2"/>
    <x v="1"/>
    <x v="5"/>
    <x v="0"/>
    <x v="0"/>
    <n v="2007421"/>
    <n v="1416820"/>
    <x v="2"/>
    <n v="118068.33333333333"/>
  </r>
  <r>
    <s v="AI/ML Engineer"/>
    <x v="1"/>
    <x v="0"/>
    <x v="5"/>
    <x v="0"/>
    <x v="3"/>
    <n v="6051349"/>
    <n v="4924724"/>
    <x v="1"/>
    <n v="410393.66666666669"/>
  </r>
  <r>
    <s v="Big Data Engineer"/>
    <x v="2"/>
    <x v="0"/>
    <x v="2"/>
    <x v="3"/>
    <x v="2"/>
    <n v="2111110"/>
    <n v="1697730"/>
    <x v="2"/>
    <n v="141477.5"/>
  </r>
  <r>
    <s v="Analytics Consultant"/>
    <x v="1"/>
    <x v="0"/>
    <x v="6"/>
    <x v="6"/>
    <x v="0"/>
    <n v="3840356"/>
    <n v="2845409"/>
    <x v="0"/>
    <n v="237117.41666666666"/>
  </r>
  <r>
    <s v="Big Data Engineer"/>
    <x v="0"/>
    <x v="0"/>
    <x v="8"/>
    <x v="4"/>
    <x v="3"/>
    <n v="735924"/>
    <n v="535040"/>
    <x v="2"/>
    <n v="44586.666666666664"/>
  </r>
  <r>
    <s v="Big Data Engineer"/>
    <x v="2"/>
    <x v="0"/>
    <x v="4"/>
    <x v="2"/>
    <x v="3"/>
    <n v="1522682"/>
    <n v="1156819"/>
    <x v="2"/>
    <n v="96401.583333333328"/>
  </r>
  <r>
    <s v="Analytics Consultant"/>
    <x v="1"/>
    <x v="0"/>
    <x v="0"/>
    <x v="0"/>
    <x v="3"/>
    <n v="3151175"/>
    <n v="2307848"/>
    <x v="0"/>
    <n v="192320.66666666666"/>
  </r>
  <r>
    <s v="Data Scientist"/>
    <x v="0"/>
    <x v="1"/>
    <x v="7"/>
    <x v="5"/>
    <x v="1"/>
    <n v="1194589"/>
    <n v="940316"/>
    <x v="2"/>
    <n v="78359.666666666672"/>
  </r>
  <r>
    <s v="Analytics Consultant"/>
    <x v="2"/>
    <x v="1"/>
    <x v="3"/>
    <x v="3"/>
    <x v="1"/>
    <n v="1959464"/>
    <n v="1506060"/>
    <x v="0"/>
    <n v="125505"/>
  </r>
  <r>
    <s v="Analytics Consultant"/>
    <x v="1"/>
    <x v="0"/>
    <x v="2"/>
    <x v="6"/>
    <x v="2"/>
    <n v="3322370"/>
    <n v="2518678"/>
    <x v="0"/>
    <n v="209889.83333333334"/>
  </r>
  <r>
    <s v="Data Analyst"/>
    <x v="0"/>
    <x v="1"/>
    <x v="1"/>
    <x v="0"/>
    <x v="2"/>
    <n v="479360"/>
    <n v="378862"/>
    <x v="0"/>
    <n v="31571.833333333332"/>
  </r>
  <r>
    <s v="AI Researcher"/>
    <x v="1"/>
    <x v="0"/>
    <x v="6"/>
    <x v="4"/>
    <x v="2"/>
    <n v="5976542"/>
    <n v="4394058"/>
    <x v="1"/>
    <n v="366171.5"/>
  </r>
  <r>
    <s v="Data Scientist"/>
    <x v="0"/>
    <x v="1"/>
    <x v="1"/>
    <x v="6"/>
    <x v="3"/>
    <n v="720980"/>
    <n v="572024"/>
    <x v="2"/>
    <n v="47668.666666666664"/>
  </r>
  <r>
    <s v="Data Analyst"/>
    <x v="1"/>
    <x v="1"/>
    <x v="6"/>
    <x v="4"/>
    <x v="1"/>
    <n v="3416292"/>
    <n v="2669966"/>
    <x v="0"/>
    <n v="222497.16666666666"/>
  </r>
  <r>
    <s v="Big Data Engineer"/>
    <x v="1"/>
    <x v="0"/>
    <x v="7"/>
    <x v="3"/>
    <x v="2"/>
    <n v="3182327"/>
    <n v="2404976"/>
    <x v="2"/>
    <n v="200414.66666666666"/>
  </r>
  <r>
    <s v="AI/ML Engineer"/>
    <x v="1"/>
    <x v="0"/>
    <x v="0"/>
    <x v="2"/>
    <x v="1"/>
    <n v="3724743"/>
    <n v="2914663"/>
    <x v="1"/>
    <n v="242888.58333333334"/>
  </r>
  <r>
    <s v="Big Data Engineer"/>
    <x v="0"/>
    <x v="0"/>
    <x v="4"/>
    <x v="6"/>
    <x v="2"/>
    <n v="792166"/>
    <n v="602030"/>
    <x v="2"/>
    <n v="50169.166666666664"/>
  </r>
  <r>
    <s v="Analytics Consultant"/>
    <x v="1"/>
    <x v="0"/>
    <x v="8"/>
    <x v="6"/>
    <x v="0"/>
    <n v="4953073"/>
    <n v="3873441"/>
    <x v="0"/>
    <n v="322786.75"/>
  </r>
  <r>
    <s v="Data Analyst"/>
    <x v="2"/>
    <x v="0"/>
    <x v="0"/>
    <x v="2"/>
    <x v="2"/>
    <n v="1265932"/>
    <n v="986589"/>
    <x v="0"/>
    <n v="82215.75"/>
  </r>
  <r>
    <s v="Analytics Consultant"/>
    <x v="2"/>
    <x v="0"/>
    <x v="5"/>
    <x v="2"/>
    <x v="3"/>
    <n v="1906885"/>
    <n v="1466662"/>
    <x v="0"/>
    <n v="122221.83333333333"/>
  </r>
  <r>
    <s v="AI Researcher"/>
    <x v="0"/>
    <x v="1"/>
    <x v="4"/>
    <x v="2"/>
    <x v="2"/>
    <n v="1050961"/>
    <n v="770532"/>
    <x v="1"/>
    <n v="64211"/>
  </r>
  <r>
    <s v="Big Data Engineer"/>
    <x v="0"/>
    <x v="0"/>
    <x v="1"/>
    <x v="1"/>
    <x v="2"/>
    <n v="851482"/>
    <n v="669882"/>
    <x v="2"/>
    <n v="55823.5"/>
  </r>
  <r>
    <s v="Analytics Consultant"/>
    <x v="1"/>
    <x v="0"/>
    <x v="7"/>
    <x v="0"/>
    <x v="0"/>
    <n v="4204395"/>
    <n v="3036493"/>
    <x v="0"/>
    <n v="253041.08333333334"/>
  </r>
  <r>
    <s v="AI Researcher"/>
    <x v="0"/>
    <x v="0"/>
    <x v="0"/>
    <x v="1"/>
    <x v="3"/>
    <n v="960400"/>
    <n v="769340"/>
    <x v="1"/>
    <n v="64111.666666666664"/>
  </r>
  <r>
    <s v="AI Researcher"/>
    <x v="0"/>
    <x v="1"/>
    <x v="5"/>
    <x v="2"/>
    <x v="0"/>
    <n v="849622"/>
    <n v="688658"/>
    <x v="1"/>
    <n v="57388.166666666664"/>
  </r>
  <r>
    <s v="Data Analyst"/>
    <x v="1"/>
    <x v="0"/>
    <x v="3"/>
    <x v="5"/>
    <x v="0"/>
    <n v="3085653"/>
    <n v="2495024"/>
    <x v="0"/>
    <n v="207918.66666666666"/>
  </r>
  <r>
    <s v="Analytics Consultant"/>
    <x v="2"/>
    <x v="1"/>
    <x v="6"/>
    <x v="4"/>
    <x v="2"/>
    <n v="1391241"/>
    <n v="1018478"/>
    <x v="0"/>
    <n v="84873.166666666672"/>
  </r>
  <r>
    <s v="Big Data Engineer"/>
    <x v="2"/>
    <x v="1"/>
    <x v="4"/>
    <x v="5"/>
    <x v="2"/>
    <n v="1672159"/>
    <n v="1185077"/>
    <x v="2"/>
    <n v="98756.416666666672"/>
  </r>
  <r>
    <s v="AI/ML Engineer"/>
    <x v="0"/>
    <x v="1"/>
    <x v="6"/>
    <x v="2"/>
    <x v="3"/>
    <n v="1484648"/>
    <n v="1042616"/>
    <x v="1"/>
    <n v="86884.666666666672"/>
  </r>
  <r>
    <s v="Analytics Consultant"/>
    <x v="2"/>
    <x v="0"/>
    <x v="0"/>
    <x v="4"/>
    <x v="3"/>
    <n v="1392037"/>
    <n v="984754"/>
    <x v="0"/>
    <n v="82062.833333333328"/>
  </r>
  <r>
    <s v="Data Scientist"/>
    <x v="2"/>
    <x v="1"/>
    <x v="3"/>
    <x v="5"/>
    <x v="2"/>
    <n v="1801992"/>
    <n v="1434315"/>
    <x v="2"/>
    <n v="119526.25"/>
  </r>
  <r>
    <s v="AI/ML Engineer"/>
    <x v="0"/>
    <x v="1"/>
    <x v="1"/>
    <x v="0"/>
    <x v="3"/>
    <n v="1197056"/>
    <n v="958167"/>
    <x v="1"/>
    <n v="79847.25"/>
  </r>
  <r>
    <s v="Big Data Engineer"/>
    <x v="1"/>
    <x v="1"/>
    <x v="7"/>
    <x v="0"/>
    <x v="1"/>
    <n v="3945725"/>
    <n v="3176954"/>
    <x v="2"/>
    <n v="264746.16666666669"/>
  </r>
  <r>
    <s v="Analytics Consultant"/>
    <x v="0"/>
    <x v="0"/>
    <x v="0"/>
    <x v="2"/>
    <x v="3"/>
    <n v="753028"/>
    <n v="533798"/>
    <x v="0"/>
    <n v="44483.166666666664"/>
  </r>
  <r>
    <s v="Analytics Consultant"/>
    <x v="0"/>
    <x v="1"/>
    <x v="1"/>
    <x v="3"/>
    <x v="2"/>
    <n v="1110449"/>
    <n v="781940"/>
    <x v="0"/>
    <n v="65161.666666666664"/>
  </r>
  <r>
    <s v="Big Data Engineer"/>
    <x v="1"/>
    <x v="1"/>
    <x v="2"/>
    <x v="3"/>
    <x v="2"/>
    <n v="4614137"/>
    <n v="3471882"/>
    <x v="2"/>
    <n v="289323.5"/>
  </r>
  <r>
    <s v="Data Analyst"/>
    <x v="0"/>
    <x v="1"/>
    <x v="8"/>
    <x v="5"/>
    <x v="0"/>
    <n v="785446"/>
    <n v="619328"/>
    <x v="0"/>
    <n v="51610.666666666664"/>
  </r>
  <r>
    <s v="Analytics Consultant"/>
    <x v="2"/>
    <x v="1"/>
    <x v="7"/>
    <x v="4"/>
    <x v="2"/>
    <n v="1728252"/>
    <n v="1209975"/>
    <x v="0"/>
    <n v="100831.25"/>
  </r>
  <r>
    <s v="Data Analyst"/>
    <x v="0"/>
    <x v="1"/>
    <x v="4"/>
    <x v="4"/>
    <x v="0"/>
    <n v="712716"/>
    <n v="513126"/>
    <x v="0"/>
    <n v="42760.5"/>
  </r>
  <r>
    <s v="AI Researcher"/>
    <x v="2"/>
    <x v="0"/>
    <x v="7"/>
    <x v="0"/>
    <x v="2"/>
    <n v="2038689"/>
    <n v="1574928"/>
    <x v="1"/>
    <n v="131244"/>
  </r>
  <r>
    <s v="AI Researcher"/>
    <x v="0"/>
    <x v="1"/>
    <x v="6"/>
    <x v="6"/>
    <x v="2"/>
    <n v="1171594"/>
    <n v="951393"/>
    <x v="1"/>
    <n v="79282.75"/>
  </r>
  <r>
    <s v="Data Scientist"/>
    <x v="1"/>
    <x v="0"/>
    <x v="5"/>
    <x v="4"/>
    <x v="3"/>
    <n v="4446751"/>
    <n v="3214069"/>
    <x v="2"/>
    <n v="267839.08333333331"/>
  </r>
  <r>
    <s v="Analytics Consultant"/>
    <x v="2"/>
    <x v="1"/>
    <x v="5"/>
    <x v="6"/>
    <x v="1"/>
    <n v="1711953"/>
    <n v="1329806"/>
    <x v="0"/>
    <n v="110817.16666666667"/>
  </r>
  <r>
    <s v="Analytics Consultant"/>
    <x v="0"/>
    <x v="1"/>
    <x v="0"/>
    <x v="4"/>
    <x v="0"/>
    <n v="950212"/>
    <n v="667533"/>
    <x v="0"/>
    <n v="55627.75"/>
  </r>
  <r>
    <s v="AI/ML Engineer"/>
    <x v="1"/>
    <x v="1"/>
    <x v="0"/>
    <x v="0"/>
    <x v="2"/>
    <n v="3810391"/>
    <n v="3012023"/>
    <x v="1"/>
    <n v="251001.91666666666"/>
  </r>
  <r>
    <s v="Big Data Engineer"/>
    <x v="2"/>
    <x v="0"/>
    <x v="3"/>
    <x v="3"/>
    <x v="1"/>
    <n v="1353621"/>
    <n v="955457"/>
    <x v="2"/>
    <n v="79621.416666666672"/>
  </r>
  <r>
    <s v="Big Data Engineer"/>
    <x v="2"/>
    <x v="0"/>
    <x v="6"/>
    <x v="1"/>
    <x v="3"/>
    <n v="1824607"/>
    <n v="1483295"/>
    <x v="2"/>
    <n v="123607.91666666667"/>
  </r>
  <r>
    <s v="Data Scientist"/>
    <x v="0"/>
    <x v="0"/>
    <x v="0"/>
    <x v="0"/>
    <x v="3"/>
    <n v="675807"/>
    <n v="530516"/>
    <x v="2"/>
    <n v="44209.666666666664"/>
  </r>
  <r>
    <s v="Big Data Engineer"/>
    <x v="1"/>
    <x v="1"/>
    <x v="2"/>
    <x v="5"/>
    <x v="3"/>
    <n v="2907311"/>
    <n v="2280709"/>
    <x v="2"/>
    <n v="190059.08333333334"/>
  </r>
  <r>
    <s v="Data Analyst"/>
    <x v="0"/>
    <x v="1"/>
    <x v="2"/>
    <x v="1"/>
    <x v="1"/>
    <n v="467220"/>
    <n v="345221"/>
    <x v="0"/>
    <n v="28768.416666666668"/>
  </r>
  <r>
    <s v="AI/ML Engineer"/>
    <x v="2"/>
    <x v="0"/>
    <x v="7"/>
    <x v="6"/>
    <x v="2"/>
    <n v="2277979"/>
    <n v="1689338"/>
    <x v="1"/>
    <n v="140778.16666666666"/>
  </r>
  <r>
    <s v="Data Scientist"/>
    <x v="2"/>
    <x v="1"/>
    <x v="5"/>
    <x v="1"/>
    <x v="3"/>
    <n v="2189924"/>
    <n v="1735635"/>
    <x v="2"/>
    <n v="144636.25"/>
  </r>
  <r>
    <s v="Data Analyst"/>
    <x v="2"/>
    <x v="0"/>
    <x v="3"/>
    <x v="5"/>
    <x v="3"/>
    <n v="1743312"/>
    <n v="1421803"/>
    <x v="0"/>
    <n v="118483.58333333333"/>
  </r>
  <r>
    <s v="AI Researcher"/>
    <x v="2"/>
    <x v="1"/>
    <x v="4"/>
    <x v="0"/>
    <x v="3"/>
    <n v="1999022"/>
    <n v="1619654"/>
    <x v="1"/>
    <n v="134971.16666666666"/>
  </r>
  <r>
    <s v="Data Analyst"/>
    <x v="0"/>
    <x v="1"/>
    <x v="1"/>
    <x v="4"/>
    <x v="3"/>
    <n v="416042"/>
    <n v="298969"/>
    <x v="0"/>
    <n v="24914.083333333332"/>
  </r>
  <r>
    <s v="Data Scientist"/>
    <x v="1"/>
    <x v="1"/>
    <x v="2"/>
    <x v="4"/>
    <x v="1"/>
    <n v="4391738"/>
    <n v="3395423"/>
    <x v="2"/>
    <n v="282951.91666666669"/>
  </r>
  <r>
    <s v="Data Analyst"/>
    <x v="2"/>
    <x v="0"/>
    <x v="6"/>
    <x v="1"/>
    <x v="1"/>
    <n v="1510629"/>
    <n v="1106180"/>
    <x v="0"/>
    <n v="92181.666666666672"/>
  </r>
  <r>
    <s v="Big Data Engineer"/>
    <x v="0"/>
    <x v="0"/>
    <x v="0"/>
    <x v="4"/>
    <x v="1"/>
    <n v="625016"/>
    <n v="446132"/>
    <x v="2"/>
    <n v="37177.666666666664"/>
  </r>
  <r>
    <s v="Big Data Engineer"/>
    <x v="2"/>
    <x v="1"/>
    <x v="4"/>
    <x v="6"/>
    <x v="3"/>
    <n v="2423068"/>
    <n v="1848673"/>
    <x v="2"/>
    <n v="154056.08333333334"/>
  </r>
  <r>
    <s v="AI/ML Engineer"/>
    <x v="1"/>
    <x v="0"/>
    <x v="3"/>
    <x v="6"/>
    <x v="1"/>
    <n v="6434184"/>
    <n v="4882166"/>
    <x v="1"/>
    <n v="406847.16666666669"/>
  </r>
  <r>
    <s v="Data Analyst"/>
    <x v="2"/>
    <x v="1"/>
    <x v="7"/>
    <x v="2"/>
    <x v="1"/>
    <n v="1381587"/>
    <n v="1114893"/>
    <x v="0"/>
    <n v="92907.75"/>
  </r>
  <r>
    <s v="AI/ML Engineer"/>
    <x v="2"/>
    <x v="0"/>
    <x v="4"/>
    <x v="2"/>
    <x v="2"/>
    <n v="2211818"/>
    <n v="1680117"/>
    <x v="1"/>
    <n v="140009.75"/>
  </r>
  <r>
    <s v="AI/ML Engineer"/>
    <x v="2"/>
    <x v="1"/>
    <x v="7"/>
    <x v="2"/>
    <x v="1"/>
    <n v="2709385"/>
    <n v="2179756"/>
    <x v="1"/>
    <n v="181646.33333333334"/>
  </r>
  <r>
    <s v="AI Researcher"/>
    <x v="1"/>
    <x v="1"/>
    <x v="2"/>
    <x v="0"/>
    <x v="3"/>
    <n v="4316354"/>
    <n v="3082475"/>
    <x v="1"/>
    <n v="256872.91666666666"/>
  </r>
  <r>
    <s v="Data Scientist"/>
    <x v="0"/>
    <x v="1"/>
    <x v="0"/>
    <x v="3"/>
    <x v="2"/>
    <n v="1125980"/>
    <n v="861705"/>
    <x v="2"/>
    <n v="71808.75"/>
  </r>
  <r>
    <s v="AI/ML Engineer"/>
    <x v="2"/>
    <x v="1"/>
    <x v="4"/>
    <x v="0"/>
    <x v="3"/>
    <n v="2012179"/>
    <n v="1556977"/>
    <x v="1"/>
    <n v="129748.08333333333"/>
  </r>
  <r>
    <s v="AI Researcher"/>
    <x v="0"/>
    <x v="1"/>
    <x v="5"/>
    <x v="4"/>
    <x v="0"/>
    <n v="835158"/>
    <n v="636278"/>
    <x v="1"/>
    <n v="53023.166666666664"/>
  </r>
  <r>
    <s v="Analytics Consultant"/>
    <x v="2"/>
    <x v="0"/>
    <x v="4"/>
    <x v="0"/>
    <x v="1"/>
    <n v="2412362"/>
    <n v="1879686"/>
    <x v="0"/>
    <n v="156640.5"/>
  </r>
  <r>
    <s v="AI/ML Engineer"/>
    <x v="0"/>
    <x v="0"/>
    <x v="7"/>
    <x v="1"/>
    <x v="2"/>
    <n v="984462"/>
    <n v="756285"/>
    <x v="1"/>
    <n v="63023.75"/>
  </r>
  <r>
    <s v="AI Researcher"/>
    <x v="1"/>
    <x v="1"/>
    <x v="3"/>
    <x v="1"/>
    <x v="1"/>
    <n v="4420743"/>
    <n v="3571643"/>
    <x v="1"/>
    <n v="297636.91666666669"/>
  </r>
  <r>
    <s v="Big Data Engineer"/>
    <x v="1"/>
    <x v="1"/>
    <x v="3"/>
    <x v="3"/>
    <x v="2"/>
    <n v="3954071"/>
    <n v="3052948"/>
    <x v="2"/>
    <n v="254412.33333333334"/>
  </r>
  <r>
    <s v="Big Data Engineer"/>
    <x v="2"/>
    <x v="1"/>
    <x v="2"/>
    <x v="2"/>
    <x v="1"/>
    <n v="2190219"/>
    <n v="1746873"/>
    <x v="2"/>
    <n v="145572.75"/>
  </r>
  <r>
    <s v="Data Analyst"/>
    <x v="2"/>
    <x v="0"/>
    <x v="7"/>
    <x v="1"/>
    <x v="3"/>
    <n v="1202808"/>
    <n v="880922"/>
    <x v="0"/>
    <n v="73410.166666666672"/>
  </r>
  <r>
    <s v="Data Analyst"/>
    <x v="0"/>
    <x v="0"/>
    <x v="2"/>
    <x v="6"/>
    <x v="1"/>
    <n v="596697"/>
    <n v="442174"/>
    <x v="0"/>
    <n v="36847.833333333336"/>
  </r>
  <r>
    <s v="Data Scientist"/>
    <x v="0"/>
    <x v="1"/>
    <x v="5"/>
    <x v="0"/>
    <x v="2"/>
    <n v="961484"/>
    <n v="785197"/>
    <x v="2"/>
    <n v="65433.083333333336"/>
  </r>
  <r>
    <s v="AI/ML Engineer"/>
    <x v="2"/>
    <x v="0"/>
    <x v="5"/>
    <x v="5"/>
    <x v="3"/>
    <n v="1981058"/>
    <n v="1576469"/>
    <x v="1"/>
    <n v="131372.41666666666"/>
  </r>
  <r>
    <s v="AI Researcher"/>
    <x v="1"/>
    <x v="1"/>
    <x v="1"/>
    <x v="4"/>
    <x v="1"/>
    <n v="5481005"/>
    <n v="4489796"/>
    <x v="1"/>
    <n v="374149.66666666669"/>
  </r>
  <r>
    <s v="Analytics Consultant"/>
    <x v="1"/>
    <x v="1"/>
    <x v="6"/>
    <x v="6"/>
    <x v="2"/>
    <n v="3773074"/>
    <n v="2821047"/>
    <x v="0"/>
    <n v="235087.25"/>
  </r>
  <r>
    <s v="Big Data Engineer"/>
    <x v="0"/>
    <x v="0"/>
    <x v="2"/>
    <x v="4"/>
    <x v="2"/>
    <n v="610202"/>
    <n v="472174"/>
    <x v="2"/>
    <n v="39347.833333333336"/>
  </r>
  <r>
    <s v="AI/ML Engineer"/>
    <x v="1"/>
    <x v="0"/>
    <x v="1"/>
    <x v="1"/>
    <x v="3"/>
    <n v="6858486"/>
    <n v="5052178"/>
    <x v="1"/>
    <n v="421014.83333333331"/>
  </r>
  <r>
    <s v="AI/ML Engineer"/>
    <x v="2"/>
    <x v="0"/>
    <x v="8"/>
    <x v="3"/>
    <x v="1"/>
    <n v="2716094"/>
    <n v="2029891"/>
    <x v="1"/>
    <n v="169157.58333333334"/>
  </r>
  <r>
    <s v="Data Scientist"/>
    <x v="2"/>
    <x v="0"/>
    <x v="1"/>
    <x v="3"/>
    <x v="1"/>
    <n v="2166003"/>
    <n v="1685957"/>
    <x v="2"/>
    <n v="140496.41666666666"/>
  </r>
  <r>
    <s v="Data Scientist"/>
    <x v="1"/>
    <x v="0"/>
    <x v="6"/>
    <x v="2"/>
    <x v="3"/>
    <n v="3117027"/>
    <n v="2507923"/>
    <x v="2"/>
    <n v="208993.58333333334"/>
  </r>
  <r>
    <s v="Big Data Engineer"/>
    <x v="2"/>
    <x v="0"/>
    <x v="3"/>
    <x v="6"/>
    <x v="1"/>
    <n v="1923428"/>
    <n v="1396215"/>
    <x v="2"/>
    <n v="116351.25"/>
  </r>
  <r>
    <s v="Data Scientist"/>
    <x v="1"/>
    <x v="1"/>
    <x v="4"/>
    <x v="2"/>
    <x v="3"/>
    <n v="5959356"/>
    <n v="4557004"/>
    <x v="2"/>
    <n v="379750.33333333331"/>
  </r>
  <r>
    <s v="Analytics Consultant"/>
    <x v="1"/>
    <x v="0"/>
    <x v="2"/>
    <x v="6"/>
    <x v="1"/>
    <n v="3594356"/>
    <n v="2541587"/>
    <x v="0"/>
    <n v="211798.91666666666"/>
  </r>
  <r>
    <s v="Data Scientist"/>
    <x v="2"/>
    <x v="0"/>
    <x v="2"/>
    <x v="3"/>
    <x v="3"/>
    <n v="1763614"/>
    <n v="1248993"/>
    <x v="2"/>
    <n v="104082.75"/>
  </r>
  <r>
    <s v="Data Scientist"/>
    <x v="1"/>
    <x v="1"/>
    <x v="6"/>
    <x v="2"/>
    <x v="2"/>
    <n v="4642824"/>
    <n v="3255402"/>
    <x v="2"/>
    <n v="271283.5"/>
  </r>
  <r>
    <s v="AI Researcher"/>
    <x v="2"/>
    <x v="0"/>
    <x v="3"/>
    <x v="2"/>
    <x v="3"/>
    <n v="2912739"/>
    <n v="2075023"/>
    <x v="1"/>
    <n v="172918.58333333334"/>
  </r>
  <r>
    <s v="Big Data Engineer"/>
    <x v="1"/>
    <x v="1"/>
    <x v="0"/>
    <x v="5"/>
    <x v="3"/>
    <n v="5391283"/>
    <n v="4084257"/>
    <x v="2"/>
    <n v="340354.75"/>
  </r>
  <r>
    <s v="Analytics Consultant"/>
    <x v="0"/>
    <x v="1"/>
    <x v="2"/>
    <x v="4"/>
    <x v="3"/>
    <n v="591402"/>
    <n v="466357"/>
    <x v="0"/>
    <n v="38863.083333333336"/>
  </r>
  <r>
    <s v="Data Analyst"/>
    <x v="1"/>
    <x v="1"/>
    <x v="6"/>
    <x v="6"/>
    <x v="2"/>
    <n v="1807392"/>
    <n v="1451850"/>
    <x v="0"/>
    <n v="120987.5"/>
  </r>
  <r>
    <s v="Data Scientist"/>
    <x v="2"/>
    <x v="0"/>
    <x v="2"/>
    <x v="6"/>
    <x v="3"/>
    <n v="1987504"/>
    <n v="1517245"/>
    <x v="2"/>
    <n v="126437.08333333333"/>
  </r>
  <r>
    <s v="Analytics Consultant"/>
    <x v="1"/>
    <x v="0"/>
    <x v="3"/>
    <x v="3"/>
    <x v="1"/>
    <n v="4631932"/>
    <n v="3775918"/>
    <x v="0"/>
    <n v="314659.83333333331"/>
  </r>
  <r>
    <s v="Data Scientist"/>
    <x v="0"/>
    <x v="0"/>
    <x v="5"/>
    <x v="1"/>
    <x v="2"/>
    <n v="651418"/>
    <n v="491878"/>
    <x v="2"/>
    <n v="40989.833333333336"/>
  </r>
  <r>
    <s v="AI Researcher"/>
    <x v="1"/>
    <x v="0"/>
    <x v="5"/>
    <x v="5"/>
    <x v="2"/>
    <n v="3740251"/>
    <n v="2646739"/>
    <x v="1"/>
    <n v="220561.58333333334"/>
  </r>
  <r>
    <s v="Data Scientist"/>
    <x v="2"/>
    <x v="0"/>
    <x v="6"/>
    <x v="0"/>
    <x v="0"/>
    <n v="1379708"/>
    <n v="1097468"/>
    <x v="2"/>
    <n v="91455.666666666672"/>
  </r>
  <r>
    <s v="AI/ML Engineer"/>
    <x v="1"/>
    <x v="0"/>
    <x v="0"/>
    <x v="5"/>
    <x v="1"/>
    <n v="3307470"/>
    <n v="2617474"/>
    <x v="1"/>
    <n v="218122.83333333334"/>
  </r>
  <r>
    <s v="Big Data Engineer"/>
    <x v="1"/>
    <x v="1"/>
    <x v="7"/>
    <x v="1"/>
    <x v="0"/>
    <n v="3118274"/>
    <n v="2497611"/>
    <x v="2"/>
    <n v="208134.25"/>
  </r>
  <r>
    <s v="AI/ML Engineer"/>
    <x v="1"/>
    <x v="0"/>
    <x v="3"/>
    <x v="1"/>
    <x v="1"/>
    <n v="4691125"/>
    <n v="3610720"/>
    <x v="1"/>
    <n v="300893.33333333331"/>
  </r>
  <r>
    <s v="Data Scientist"/>
    <x v="0"/>
    <x v="1"/>
    <x v="5"/>
    <x v="0"/>
    <x v="3"/>
    <n v="1048392"/>
    <n v="752389"/>
    <x v="2"/>
    <n v="62699.083333333336"/>
  </r>
  <r>
    <s v="Big Data Engineer"/>
    <x v="0"/>
    <x v="1"/>
    <x v="1"/>
    <x v="1"/>
    <x v="1"/>
    <n v="978329"/>
    <n v="768201"/>
    <x v="2"/>
    <n v="64016.75"/>
  </r>
  <r>
    <s v="AI/ML Engineer"/>
    <x v="1"/>
    <x v="1"/>
    <x v="1"/>
    <x v="2"/>
    <x v="1"/>
    <n v="6789738"/>
    <n v="5053024"/>
    <x v="1"/>
    <n v="421085.33333333331"/>
  </r>
  <r>
    <s v="Analytics Consultant"/>
    <x v="1"/>
    <x v="1"/>
    <x v="0"/>
    <x v="3"/>
    <x v="3"/>
    <n v="4835241"/>
    <n v="3818430"/>
    <x v="0"/>
    <n v="318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93ECE8-13C5-48C9-A6FB-33B85CC73F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9">
    <pivotField showAll="0"/>
    <pivotField showAll="0">
      <items count="4">
        <item x="0"/>
        <item x="2"/>
        <item x="1"/>
        <item t="default"/>
      </items>
    </pivotField>
    <pivotField showAll="0">
      <items count="3">
        <item x="0"/>
        <item h="1" x="1"/>
        <item t="default"/>
      </items>
    </pivotField>
    <pivotField showAll="0">
      <items count="10">
        <item x="4"/>
        <item x="2"/>
        <item x="6"/>
        <item x="0"/>
        <item x="7"/>
        <item x="3"/>
        <item x="8"/>
        <item x="1"/>
        <item x="5"/>
        <item t="default"/>
      </items>
    </pivotField>
    <pivotField showAll="0"/>
    <pivotField showAll="0">
      <items count="5">
        <item x="0"/>
        <item x="1"/>
        <item x="3"/>
        <item x="2"/>
        <item t="default"/>
      </items>
    </pivotField>
    <pivotField dataField="1" showAll="0"/>
    <pivotField showAll="0"/>
    <pivotField axis="axisRow" showAll="0">
      <items count="4">
        <item x="1"/>
        <item x="0"/>
        <item x="2"/>
        <item t="default"/>
      </items>
    </pivotField>
  </pivotFields>
  <rowFields count="1">
    <field x="8"/>
  </rowFields>
  <rowItems count="4">
    <i>
      <x/>
    </i>
    <i>
      <x v="1"/>
    </i>
    <i>
      <x v="2"/>
    </i>
    <i t="grand">
      <x/>
    </i>
  </rowItems>
  <colItems count="1">
    <i/>
  </colItems>
  <dataFields count="1">
    <dataField name="Average of Salary (CTC INR)" fld="6"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E481E-E254-4C54-8F68-B686E9B96968}"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8">
  <location ref="A3:D7" firstHeaderRow="1" firstDataRow="2" firstDataCol="1"/>
  <pivotFields count="10">
    <pivotField showAll="0"/>
    <pivotField axis="axisRow" showAll="0">
      <items count="4">
        <item x="0"/>
        <item x="2"/>
        <item x="1"/>
        <item t="default"/>
      </items>
    </pivotField>
    <pivotField showAll="0">
      <items count="3">
        <item x="0"/>
        <item x="1"/>
        <item t="default"/>
      </items>
    </pivotField>
    <pivotField showAll="0">
      <items count="10">
        <item x="4"/>
        <item x="2"/>
        <item x="6"/>
        <item x="0"/>
        <item x="7"/>
        <item x="3"/>
        <item x="8"/>
        <item x="1"/>
        <item x="5"/>
        <item t="default"/>
      </items>
    </pivotField>
    <pivotField showAll="0">
      <items count="8">
        <item x="4"/>
        <item x="5"/>
        <item x="1"/>
        <item x="2"/>
        <item x="0"/>
        <item x="6"/>
        <item x="3"/>
        <item t="default"/>
      </items>
    </pivotField>
    <pivotField showAll="0">
      <items count="5">
        <item x="0"/>
        <item x="1"/>
        <item x="3"/>
        <item x="2"/>
        <item t="default"/>
      </items>
    </pivotField>
    <pivotField dataField="1" numFmtId="164" showAll="0"/>
    <pivotField numFmtId="164" showAll="0"/>
    <pivotField axis="axisCol" showAll="0">
      <items count="4">
        <item x="1"/>
        <item x="0"/>
        <item x="2"/>
        <item t="default"/>
      </items>
    </pivotField>
    <pivotField numFmtId="164" showAll="0"/>
  </pivotFields>
  <rowFields count="1">
    <field x="1"/>
  </rowFields>
  <rowItems count="3">
    <i>
      <x/>
    </i>
    <i>
      <x v="1"/>
    </i>
    <i>
      <x v="2"/>
    </i>
  </rowItems>
  <colFields count="1">
    <field x="8"/>
  </colFields>
  <colItems count="3">
    <i>
      <x/>
    </i>
    <i>
      <x v="1"/>
    </i>
    <i>
      <x v="2"/>
    </i>
  </colItems>
  <dataFields count="1">
    <dataField name="Average of Salary (CTC INR)" fld="6" subtotal="average" baseField="1" baseItem="0" numFmtId="164"/>
  </dataFields>
  <chartFormats count="8">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14" format="2" series="1">
      <pivotArea type="data" outline="0" fieldPosition="0">
        <references count="2">
          <reference field="4294967294" count="1" selected="0">
            <x v="0"/>
          </reference>
          <reference field="8" count="1" selected="0">
            <x v="2"/>
          </reference>
        </references>
      </pivotArea>
    </chartFormat>
    <chartFormat chart="19" format="6" series="1">
      <pivotArea type="data" outline="0" fieldPosition="0">
        <references count="2">
          <reference field="4294967294" count="1" selected="0">
            <x v="0"/>
          </reference>
          <reference field="8" count="1" selected="0">
            <x v="0"/>
          </reference>
        </references>
      </pivotArea>
    </chartFormat>
    <chartFormat chart="19" format="7" series="1">
      <pivotArea type="data" outline="0" fieldPosition="0">
        <references count="2">
          <reference field="4294967294" count="1" selected="0">
            <x v="0"/>
          </reference>
          <reference field="8" count="1" selected="0">
            <x v="1"/>
          </reference>
        </references>
      </pivotArea>
    </chartFormat>
    <chartFormat chart="19" format="8" series="1">
      <pivotArea type="data" outline="0" fieldPosition="0">
        <references count="2">
          <reference field="4294967294" count="1" selected="0">
            <x v="0"/>
          </reference>
          <reference field="8" count="1" selected="0">
            <x v="2"/>
          </reference>
        </references>
      </pivotArea>
    </chartFormat>
    <chartFormat chart="19" format="9"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5F430B-B4C9-47CF-8C8F-F2FF1B0E564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C13" firstHeaderRow="1" firstDataRow="1" firstDataCol="1"/>
  <pivotFields count="10">
    <pivotField showAll="0"/>
    <pivotField showAll="0">
      <items count="4">
        <item x="0"/>
        <item x="2"/>
        <item x="1"/>
        <item t="default"/>
      </items>
    </pivotField>
    <pivotField showAll="0">
      <items count="3">
        <item x="0"/>
        <item x="1"/>
        <item t="default"/>
      </items>
    </pivotField>
    <pivotField axis="axisRow" showAll="0">
      <items count="10">
        <item x="4"/>
        <item x="2"/>
        <item x="6"/>
        <item x="0"/>
        <item x="7"/>
        <item x="3"/>
        <item x="8"/>
        <item x="1"/>
        <item x="5"/>
        <item t="default"/>
      </items>
    </pivotField>
    <pivotField showAll="0">
      <items count="8">
        <item x="4"/>
        <item x="5"/>
        <item x="1"/>
        <item x="2"/>
        <item x="0"/>
        <item x="6"/>
        <item x="3"/>
        <item t="default"/>
      </items>
    </pivotField>
    <pivotField showAll="0">
      <items count="5">
        <item x="0"/>
        <item x="1"/>
        <item x="3"/>
        <item x="2"/>
        <item t="default"/>
      </items>
    </pivotField>
    <pivotField dataField="1" numFmtId="164" showAll="0"/>
    <pivotField numFmtId="164" showAll="0"/>
    <pivotField showAll="0">
      <items count="4">
        <item x="1"/>
        <item x="0"/>
        <item x="2"/>
        <item t="default"/>
      </items>
    </pivotField>
    <pivotField numFmtId="164" showAll="0"/>
  </pivotFields>
  <rowFields count="1">
    <field x="3"/>
  </rowFields>
  <rowItems count="10">
    <i>
      <x/>
    </i>
    <i>
      <x v="1"/>
    </i>
    <i>
      <x v="2"/>
    </i>
    <i>
      <x v="3"/>
    </i>
    <i>
      <x v="4"/>
    </i>
    <i>
      <x v="5"/>
    </i>
    <i>
      <x v="6"/>
    </i>
    <i>
      <x v="7"/>
    </i>
    <i>
      <x v="8"/>
    </i>
    <i t="grand">
      <x/>
    </i>
  </rowItems>
  <colItems count="1">
    <i/>
  </colItems>
  <dataFields count="1">
    <dataField name="Average of Salary (CTC INR)" fld="6" subtotal="average" baseField="3" baseItem="0" numFmtId="164"/>
  </dataFields>
  <chartFormats count="2">
    <chartFormat chart="5"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FCDAD-4667-48B0-B0C4-847D5CF23FD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D8" firstHeaderRow="1" firstDataRow="2" firstDataCol="1"/>
  <pivotFields count="10">
    <pivotField showAll="0"/>
    <pivotField showAll="0">
      <items count="4">
        <item x="0"/>
        <item x="2"/>
        <item x="1"/>
        <item t="default"/>
      </items>
    </pivotField>
    <pivotField axis="axisCol" showAll="0">
      <items count="3">
        <item x="0"/>
        <item x="1"/>
        <item t="default"/>
      </items>
    </pivotField>
    <pivotField showAll="0">
      <items count="10">
        <item x="4"/>
        <item x="2"/>
        <item x="6"/>
        <item x="0"/>
        <item x="7"/>
        <item x="3"/>
        <item x="8"/>
        <item x="1"/>
        <item x="5"/>
        <item t="default"/>
      </items>
    </pivotField>
    <pivotField showAll="0">
      <items count="8">
        <item x="4"/>
        <item x="5"/>
        <item x="1"/>
        <item x="2"/>
        <item x="0"/>
        <item x="6"/>
        <item x="3"/>
        <item t="default"/>
      </items>
    </pivotField>
    <pivotField showAll="0">
      <items count="5">
        <item x="0"/>
        <item x="1"/>
        <item x="3"/>
        <item x="2"/>
        <item t="default"/>
      </items>
    </pivotField>
    <pivotField dataField="1" numFmtId="164" showAll="0"/>
    <pivotField numFmtId="164" showAll="0"/>
    <pivotField axis="axisRow" showAll="0">
      <items count="4">
        <item x="1"/>
        <item x="0"/>
        <item x="2"/>
        <item t="default"/>
      </items>
    </pivotField>
    <pivotField numFmtId="164" showAll="0"/>
  </pivotFields>
  <rowFields count="1">
    <field x="8"/>
  </rowFields>
  <rowItems count="4">
    <i>
      <x/>
    </i>
    <i>
      <x v="1"/>
    </i>
    <i>
      <x v="2"/>
    </i>
    <i t="grand">
      <x/>
    </i>
  </rowItems>
  <colFields count="1">
    <field x="2"/>
  </colFields>
  <colItems count="3">
    <i>
      <x/>
    </i>
    <i>
      <x v="1"/>
    </i>
    <i t="grand">
      <x/>
    </i>
  </colItems>
  <dataFields count="1">
    <dataField name="Average of Salary (CTC INR)" fld="6" subtotal="average" baseField="8" baseItem="1" numFmtId="164"/>
  </dataFields>
  <chartFormats count="6">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41" format="4" series="1">
      <pivotArea type="data" outline="0" fieldPosition="0">
        <references count="2">
          <reference field="4294967294" count="1" selected="0">
            <x v="0"/>
          </reference>
          <reference field="2" count="1" selected="0">
            <x v="0"/>
          </reference>
        </references>
      </pivotArea>
    </chartFormat>
    <chartFormat chart="41" format="5"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C53080-C15A-4698-82D3-3665DD41362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0">
    <pivotField showAll="0"/>
    <pivotField showAll="0">
      <items count="4">
        <item x="0"/>
        <item x="2"/>
        <item x="1"/>
        <item t="default"/>
      </items>
    </pivotField>
    <pivotField showAll="0">
      <items count="3">
        <item x="0"/>
        <item x="1"/>
        <item t="default"/>
      </items>
    </pivotField>
    <pivotField showAll="0">
      <items count="10">
        <item x="4"/>
        <item x="2"/>
        <item x="6"/>
        <item x="0"/>
        <item x="7"/>
        <item x="3"/>
        <item x="8"/>
        <item x="1"/>
        <item x="5"/>
        <item t="default"/>
      </items>
    </pivotField>
    <pivotField showAll="0">
      <items count="8">
        <item x="4"/>
        <item x="5"/>
        <item x="1"/>
        <item x="2"/>
        <item x="0"/>
        <item x="6"/>
        <item x="3"/>
        <item t="default"/>
      </items>
    </pivotField>
    <pivotField axis="axisRow" showAll="0">
      <items count="5">
        <item x="0"/>
        <item x="1"/>
        <item x="3"/>
        <item x="2"/>
        <item t="default"/>
      </items>
    </pivotField>
    <pivotField dataField="1" numFmtId="164" showAll="0"/>
    <pivotField numFmtId="164" showAll="0"/>
    <pivotField showAll="0">
      <items count="4">
        <item x="1"/>
        <item x="0"/>
        <item x="2"/>
        <item t="default"/>
      </items>
    </pivotField>
    <pivotField numFmtId="164" showAll="0"/>
  </pivotFields>
  <rowFields count="1">
    <field x="5"/>
  </rowFields>
  <rowItems count="5">
    <i>
      <x/>
    </i>
    <i>
      <x v="1"/>
    </i>
    <i>
      <x v="2"/>
    </i>
    <i>
      <x v="3"/>
    </i>
    <i t="grand">
      <x/>
    </i>
  </rowItems>
  <colItems count="1">
    <i/>
  </colItems>
  <dataFields count="1">
    <dataField name="Average of Salary (CTC INR)" fld="6" subtotal="average" baseField="5" baseItem="0" numFmtId="164"/>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2"/>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5" count="1" selected="0">
            <x v="0"/>
          </reference>
        </references>
      </pivotArea>
    </chartFormat>
    <chartFormat chart="15" format="12">
      <pivotArea type="data" outline="0" fieldPosition="0">
        <references count="2">
          <reference field="4294967294" count="1" selected="0">
            <x v="0"/>
          </reference>
          <reference field="5" count="1" selected="0">
            <x v="1"/>
          </reference>
        </references>
      </pivotArea>
    </chartFormat>
    <chartFormat chart="15" format="13">
      <pivotArea type="data" outline="0" fieldPosition="0">
        <references count="2">
          <reference field="4294967294" count="1" selected="0">
            <x v="0"/>
          </reference>
          <reference field="5" count="1" selected="0">
            <x v="2"/>
          </reference>
        </references>
      </pivotArea>
    </chartFormat>
    <chartFormat chart="15"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F244C-9B09-415A-9A7B-E83EA91F289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0">
    <pivotField showAll="0"/>
    <pivotField showAll="0">
      <items count="4">
        <item x="0"/>
        <item x="2"/>
        <item x="1"/>
        <item t="default"/>
      </items>
    </pivotField>
    <pivotField showAll="0">
      <items count="3">
        <item x="0"/>
        <item x="1"/>
        <item t="default"/>
      </items>
    </pivotField>
    <pivotField showAll="0">
      <items count="10">
        <item x="4"/>
        <item x="2"/>
        <item x="6"/>
        <item x="0"/>
        <item x="7"/>
        <item x="3"/>
        <item x="8"/>
        <item x="1"/>
        <item x="5"/>
        <item t="default"/>
      </items>
    </pivotField>
    <pivotField axis="axisRow" showAll="0">
      <items count="8">
        <item x="4"/>
        <item x="5"/>
        <item x="1"/>
        <item x="2"/>
        <item x="0"/>
        <item x="6"/>
        <item x="3"/>
        <item t="default"/>
      </items>
    </pivotField>
    <pivotField showAll="0">
      <items count="5">
        <item x="0"/>
        <item x="1"/>
        <item x="3"/>
        <item x="2"/>
        <item t="default"/>
      </items>
    </pivotField>
    <pivotField dataField="1" numFmtId="164" showAll="0"/>
    <pivotField numFmtId="164" showAll="0"/>
    <pivotField showAll="0">
      <items count="4">
        <item x="1"/>
        <item x="0"/>
        <item x="2"/>
        <item t="default"/>
      </items>
    </pivotField>
    <pivotField numFmtId="164" showAll="0"/>
  </pivotFields>
  <rowFields count="1">
    <field x="4"/>
  </rowFields>
  <rowItems count="8">
    <i>
      <x/>
    </i>
    <i>
      <x v="1"/>
    </i>
    <i>
      <x v="2"/>
    </i>
    <i>
      <x v="3"/>
    </i>
    <i>
      <x v="4"/>
    </i>
    <i>
      <x v="5"/>
    </i>
    <i>
      <x v="6"/>
    </i>
    <i t="grand">
      <x/>
    </i>
  </rowItems>
  <colItems count="1">
    <i/>
  </colItems>
  <dataFields count="1">
    <dataField name="Average of Salary (CTC INR)" fld="6" subtotal="average" baseField="4" baseItem="2" numFmtId="164"/>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422E76-A902-45FF-BF1E-40AFAE3B2E0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0">
    <pivotField dataField="1" showAll="0"/>
    <pivotField showAll="0">
      <items count="4">
        <item x="0"/>
        <item x="2"/>
        <item x="1"/>
        <item t="default"/>
      </items>
    </pivotField>
    <pivotField showAll="0">
      <items count="3">
        <item x="0"/>
        <item x="1"/>
        <item t="default"/>
      </items>
    </pivotField>
    <pivotField showAll="0">
      <items count="10">
        <item x="4"/>
        <item x="2"/>
        <item x="6"/>
        <item x="0"/>
        <item x="7"/>
        <item x="3"/>
        <item x="8"/>
        <item x="1"/>
        <item x="5"/>
        <item t="default"/>
      </items>
    </pivotField>
    <pivotField showAll="0">
      <items count="8">
        <item x="4"/>
        <item x="5"/>
        <item x="1"/>
        <item x="2"/>
        <item x="0"/>
        <item x="6"/>
        <item x="3"/>
        <item t="default"/>
      </items>
    </pivotField>
    <pivotField showAll="0">
      <items count="5">
        <item x="0"/>
        <item x="1"/>
        <item x="3"/>
        <item x="2"/>
        <item t="default"/>
      </items>
    </pivotField>
    <pivotField numFmtId="164" showAll="0"/>
    <pivotField numFmtId="164" showAll="0"/>
    <pivotField axis="axisRow" showAll="0">
      <items count="4">
        <item x="1"/>
        <item x="0"/>
        <item x="2"/>
        <item t="default"/>
      </items>
    </pivotField>
    <pivotField numFmtId="164" showAll="0"/>
  </pivotFields>
  <rowFields count="1">
    <field x="8"/>
  </rowFields>
  <rowItems count="4">
    <i>
      <x/>
    </i>
    <i>
      <x v="1"/>
    </i>
    <i>
      <x v="2"/>
    </i>
    <i t="grand">
      <x/>
    </i>
  </rowItems>
  <colItems count="1">
    <i/>
  </colItems>
  <dataFields count="1">
    <dataField name="Count of Job Role" fld="0" subtotal="count" baseField="0" baseItem="0"/>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4" format="7">
      <pivotArea type="data" outline="0" fieldPosition="0">
        <references count="2">
          <reference field="4294967294" count="1" selected="0">
            <x v="0"/>
          </reference>
          <reference field="8"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8" count="1" selected="0">
            <x v="0"/>
          </reference>
        </references>
      </pivotArea>
    </chartFormat>
    <chartFormat chart="16" format="2">
      <pivotArea type="data" outline="0" fieldPosition="0">
        <references count="2">
          <reference field="4294967294" count="1" selected="0">
            <x v="0"/>
          </reference>
          <reference field="8" count="1" selected="0">
            <x v="2"/>
          </reference>
        </references>
      </pivotArea>
    </chartFormat>
    <chartFormat chart="16" format="3">
      <pivotArea type="data" outline="0" fieldPosition="0">
        <references count="2">
          <reference field="4294967294" count="1" selected="0">
            <x v="0"/>
          </reference>
          <reference field="8" count="1" selected="0">
            <x v="1"/>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8" count="1" selected="0">
            <x v="0"/>
          </reference>
        </references>
      </pivotArea>
    </chartFormat>
    <chartFormat chart="22" format="18">
      <pivotArea type="data" outline="0" fieldPosition="0">
        <references count="2">
          <reference field="4294967294" count="1" selected="0">
            <x v="0"/>
          </reference>
          <reference field="8" count="1" selected="0">
            <x v="1"/>
          </reference>
        </references>
      </pivotArea>
    </chartFormat>
    <chartFormat chart="22"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51D55F-C34C-4186-BFD9-7658667F7AB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4:H8" firstHeaderRow="1" firstDataRow="1" firstDataCol="1"/>
  <pivotFields count="10">
    <pivotField showAll="0"/>
    <pivotField showAll="0">
      <items count="4">
        <item x="0"/>
        <item x="2"/>
        <item x="1"/>
        <item t="default"/>
      </items>
    </pivotField>
    <pivotField showAll="0">
      <items count="3">
        <item x="0"/>
        <item x="1"/>
        <item t="default"/>
      </items>
    </pivotField>
    <pivotField showAll="0">
      <items count="10">
        <item x="4"/>
        <item x="2"/>
        <item x="6"/>
        <item x="0"/>
        <item x="7"/>
        <item x="3"/>
        <item x="8"/>
        <item x="1"/>
        <item x="5"/>
        <item t="default"/>
      </items>
    </pivotField>
    <pivotField showAll="0">
      <items count="8">
        <item x="4"/>
        <item x="5"/>
        <item x="1"/>
        <item x="2"/>
        <item x="0"/>
        <item x="6"/>
        <item x="3"/>
        <item t="default"/>
      </items>
    </pivotField>
    <pivotField showAll="0">
      <items count="5">
        <item x="0"/>
        <item x="1"/>
        <item x="3"/>
        <item x="2"/>
        <item t="default"/>
      </items>
    </pivotField>
    <pivotField dataField="1" numFmtId="164" showAll="0"/>
    <pivotField numFmtId="164" showAll="0"/>
    <pivotField axis="axisRow" showAll="0">
      <items count="4">
        <item x="1"/>
        <item x="0"/>
        <item x="2"/>
        <item t="default"/>
      </items>
    </pivotField>
    <pivotField numFmtId="164" showAll="0"/>
  </pivotFields>
  <rowFields count="1">
    <field x="8"/>
  </rowFields>
  <rowItems count="4">
    <i>
      <x/>
    </i>
    <i>
      <x v="1"/>
    </i>
    <i>
      <x v="2"/>
    </i>
    <i t="grand">
      <x/>
    </i>
  </rowItems>
  <colItems count="1">
    <i/>
  </colItems>
  <dataFields count="1">
    <dataField name="Average of Salary (CTC INR)" fld="6" subtotal="average" baseField="8" baseItem="0" numFmtId="164"/>
  </dataFields>
  <chartFormats count="3">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D724788F-0431-4901-9AE1-235800909CC5}" sourceName="Education">
  <pivotTables>
    <pivotTable tabId="8" name="PivotTable7"/>
    <pivotTable tabId="4" name="PivotTable1"/>
    <pivotTable tabId="5" name="PivotTable3"/>
    <pivotTable tabId="3" name="PivotTable2"/>
    <pivotTable tabId="7" name="PivotTable6"/>
    <pivotTable tabId="6" name="PivotTable5"/>
    <pivotTable tabId="12" name="PivotTable8"/>
  </pivotTables>
  <data>
    <tabular pivotCacheId="73760643">
      <items count="7">
        <i x="4" s="1"/>
        <i x="5" s="1"/>
        <i x="1" s="1"/>
        <i x="2" s="1"/>
        <i x="0"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3DCF1D-BE99-4DDD-921F-42B6029BC3DC}" sourceName="Gender">
  <pivotTables>
    <pivotTable tabId="8" name="PivotTable7"/>
    <pivotTable tabId="7" name="PivotTable6"/>
    <pivotTable tabId="3" name="PivotTable2"/>
    <pivotTable tabId="6" name="PivotTable5"/>
    <pivotTable tabId="5" name="PivotTable3"/>
    <pivotTable tabId="4" name="PivotTable1"/>
    <pivotTable tabId="12" name="PivotTable8"/>
  </pivotTables>
  <data>
    <tabular pivotCacheId="737606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Type1" xr10:uid="{D4633C7E-81ED-43A0-AEB5-CEE5E1DBC676}" sourceName="Company Type">
  <pivotTables>
    <pivotTable tabId="8" name="PivotTable7"/>
    <pivotTable tabId="7" name="PivotTable6"/>
    <pivotTable tabId="3" name="PivotTable2"/>
    <pivotTable tabId="6" name="PivotTable5"/>
    <pivotTable tabId="5" name="PivotTable3"/>
    <pivotTable tabId="4" name="PivotTable1"/>
    <pivotTable tabId="12" name="PivotTable8"/>
  </pivotTables>
  <data>
    <tabular pivotCacheId="73760643">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3968762-6A4F-442A-85AE-CBA475382D98}" sourceName="City">
  <pivotTables>
    <pivotTable tabId="8" name="PivotTable7"/>
    <pivotTable tabId="7" name="PivotTable6"/>
    <pivotTable tabId="3" name="PivotTable2"/>
    <pivotTable tabId="6" name="PivotTable5"/>
    <pivotTable tabId="5" name="PivotTable3"/>
    <pivotTable tabId="4" name="PivotTable1"/>
    <pivotTable tabId="12" name="PivotTable8"/>
  </pivotTables>
  <data>
    <tabular pivotCacheId="73760643">
      <items count="9">
        <i x="4" s="1"/>
        <i x="2" s="1"/>
        <i x="6" s="1"/>
        <i x="0" s="1"/>
        <i x="7" s="1"/>
        <i x="3" s="1"/>
        <i x="8"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1" xr10:uid="{819543FF-CC94-4618-8223-44787F8534E3}" sourceName="Experience Level">
  <pivotTables>
    <pivotTable tabId="8" name="PivotTable7"/>
    <pivotTable tabId="7" name="PivotTable6"/>
    <pivotTable tabId="3" name="PivotTable2"/>
    <pivotTable tabId="6" name="PivotTable5"/>
    <pivotTable tabId="5" name="PivotTable3"/>
    <pivotTable tabId="4" name="PivotTable1"/>
    <pivotTable tabId="12" name="PivotTable8"/>
  </pivotTables>
  <data>
    <tabular pivotCacheId="73760643">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ic_Role" xr10:uid="{0E377FE2-2F4D-41B0-901F-5EADF14E2CF5}" sourceName="Generic Role">
  <pivotTables>
    <pivotTable tabId="8" name="PivotTable7"/>
    <pivotTable tabId="5" name="PivotTable3"/>
    <pivotTable tabId="3" name="PivotTable2"/>
    <pivotTable tabId="7" name="PivotTable6"/>
    <pivotTable tabId="4" name="PivotTable1"/>
    <pivotTable tabId="6" name="PivotTable5"/>
    <pivotTable tabId="12" name="PivotTable8"/>
  </pivotTables>
  <data>
    <tabular pivotCacheId="7376064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D153C42-D5DD-4E36-A1A4-492103B24D70}" cache="Slicer_Education1" caption="Education" columnCount="2" style="SlicerStyleDark1" rowHeight="241300"/>
  <slicer name="Gender" xr10:uid="{F26469FD-4336-4D4E-BE8D-BEB713AC4A52}" cache="Slicer_Gender" caption="Gender" style="SlicerStyleDark1" rowHeight="241300"/>
  <slicer name="Company Type 1" xr10:uid="{355C5895-963C-47EF-A00E-B8149ECCC186}" cache="Slicer_Company_Type1" caption="Company Type" style="SlicerStyleDark1" rowHeight="241300"/>
  <slicer name="City" xr10:uid="{DC67C0AF-DB52-4497-808D-65E9311806D6}" cache="Slicer_City" caption="City" columnCount="2" style="SlicerStyleDark1" rowHeight="241300"/>
  <slicer name="Experience Level 1" xr10:uid="{0449EA0D-6964-471A-80E5-EBF8C44962AF}" cache="Slicer_Experience_Level1" caption="Experience Level" style="SlicerStyleDark1" rowHeight="241300"/>
  <slicer name="Generic Role" xr10:uid="{389E78B2-572D-461D-8D51-4DACCF9C278C}" cache="Slicer_Generic_Role" caption="Generic Role" style="SlicerStyleDark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C6AE-5A8A-4E39-9490-6BAD4311CB61}">
  <dimension ref="A2:B2"/>
  <sheetViews>
    <sheetView showGridLines="0" tabSelected="1" topLeftCell="A2" zoomScale="41" zoomScaleNormal="40" workbookViewId="0">
      <selection activeCell="AG16" sqref="AG16"/>
    </sheetView>
  </sheetViews>
  <sheetFormatPr defaultRowHeight="14.5" x14ac:dyDescent="0.35"/>
  <cols>
    <col min="1" max="1" width="16.26953125" style="7" customWidth="1"/>
    <col min="2" max="2" width="62.08984375" style="7" customWidth="1"/>
    <col min="3" max="8" width="16.26953125" customWidth="1"/>
  </cols>
  <sheetData>
    <row r="2" spans="2:2" ht="15.5" x14ac:dyDescent="0.35">
      <c r="B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1001"/>
  <sheetViews>
    <sheetView zoomScale="66" workbookViewId="0">
      <selection activeCell="J26" sqref="J26"/>
    </sheetView>
  </sheetViews>
  <sheetFormatPr defaultRowHeight="14.5" x14ac:dyDescent="0.35"/>
  <cols>
    <col min="1" max="1" width="20.54296875" customWidth="1"/>
    <col min="2" max="2" width="16.6328125" customWidth="1"/>
    <col min="3" max="3" width="10.6328125" customWidth="1"/>
    <col min="4" max="4" width="12.26953125" customWidth="1"/>
    <col min="5" max="5" width="12.7265625" customWidth="1"/>
    <col min="6" max="6" width="14.08984375" customWidth="1"/>
    <col min="7" max="7" width="16.1796875" customWidth="1"/>
    <col min="8" max="8" width="22.90625" customWidth="1"/>
    <col min="9" max="9" width="16.81640625" customWidth="1"/>
    <col min="10" max="10" width="20.26953125" customWidth="1"/>
  </cols>
  <sheetData>
    <row r="1" spans="1:10" x14ac:dyDescent="0.35">
      <c r="A1" s="1" t="s">
        <v>0</v>
      </c>
      <c r="B1" s="1" t="s">
        <v>1</v>
      </c>
      <c r="C1" s="1" t="s">
        <v>2</v>
      </c>
      <c r="D1" s="1" t="s">
        <v>3</v>
      </c>
      <c r="E1" s="1" t="s">
        <v>4</v>
      </c>
      <c r="F1" s="1" t="s">
        <v>5</v>
      </c>
      <c r="G1" s="1" t="s">
        <v>6</v>
      </c>
      <c r="H1" s="1" t="s">
        <v>7</v>
      </c>
      <c r="I1" s="1" t="s">
        <v>8</v>
      </c>
      <c r="J1" s="1" t="s">
        <v>41</v>
      </c>
    </row>
    <row r="2" spans="1:10" x14ac:dyDescent="0.35">
      <c r="A2" s="2" t="s">
        <v>9</v>
      </c>
      <c r="B2" s="2" t="s">
        <v>15</v>
      </c>
      <c r="C2" s="2" t="s">
        <v>18</v>
      </c>
      <c r="D2" s="2" t="s">
        <v>20</v>
      </c>
      <c r="E2" s="2" t="s">
        <v>29</v>
      </c>
      <c r="F2" s="2" t="s">
        <v>36</v>
      </c>
      <c r="G2" s="3">
        <v>541335</v>
      </c>
      <c r="H2" s="3">
        <v>395337</v>
      </c>
      <c r="I2" s="2" t="s">
        <v>9</v>
      </c>
      <c r="J2" s="3">
        <f>H2/12</f>
        <v>32944.75</v>
      </c>
    </row>
    <row r="3" spans="1:10" x14ac:dyDescent="0.35">
      <c r="A3" s="2" t="s">
        <v>10</v>
      </c>
      <c r="B3" s="2" t="s">
        <v>16</v>
      </c>
      <c r="C3" s="2" t="s">
        <v>19</v>
      </c>
      <c r="D3" s="2" t="s">
        <v>20</v>
      </c>
      <c r="E3" s="2" t="s">
        <v>30</v>
      </c>
      <c r="F3" s="2" t="s">
        <v>36</v>
      </c>
      <c r="G3" s="3">
        <v>6589066</v>
      </c>
      <c r="H3" s="3">
        <v>4896030</v>
      </c>
      <c r="I3" s="2" t="s">
        <v>40</v>
      </c>
      <c r="J3" s="3">
        <f t="shared" ref="J3:J66" si="0">H3/12</f>
        <v>408002.5</v>
      </c>
    </row>
    <row r="4" spans="1:10" x14ac:dyDescent="0.35">
      <c r="A4" s="2" t="s">
        <v>11</v>
      </c>
      <c r="B4" s="2" t="s">
        <v>17</v>
      </c>
      <c r="C4" s="2" t="s">
        <v>18</v>
      </c>
      <c r="D4" s="2" t="s">
        <v>21</v>
      </c>
      <c r="E4" s="2" t="s">
        <v>31</v>
      </c>
      <c r="F4" s="2" t="s">
        <v>37</v>
      </c>
      <c r="G4" s="3">
        <v>1557179</v>
      </c>
      <c r="H4" s="3">
        <v>1254251</v>
      </c>
      <c r="I4" s="2" t="s">
        <v>11</v>
      </c>
      <c r="J4" s="3">
        <f t="shared" si="0"/>
        <v>104520.91666666667</v>
      </c>
    </row>
    <row r="5" spans="1:10" x14ac:dyDescent="0.35">
      <c r="A5" s="2" t="s">
        <v>11</v>
      </c>
      <c r="B5" s="2" t="s">
        <v>17</v>
      </c>
      <c r="C5" s="2" t="s">
        <v>19</v>
      </c>
      <c r="D5" s="2" t="s">
        <v>22</v>
      </c>
      <c r="E5" s="2" t="s">
        <v>31</v>
      </c>
      <c r="F5" s="2" t="s">
        <v>37</v>
      </c>
      <c r="G5" s="3">
        <v>2031870</v>
      </c>
      <c r="H5" s="3">
        <v>1658608</v>
      </c>
      <c r="I5" s="2" t="s">
        <v>11</v>
      </c>
      <c r="J5" s="3">
        <f t="shared" si="0"/>
        <v>138217.33333333334</v>
      </c>
    </row>
    <row r="6" spans="1:10" x14ac:dyDescent="0.35">
      <c r="A6" s="2" t="s">
        <v>12</v>
      </c>
      <c r="B6" s="2" t="s">
        <v>17</v>
      </c>
      <c r="C6" s="2" t="s">
        <v>18</v>
      </c>
      <c r="D6" s="2" t="s">
        <v>22</v>
      </c>
      <c r="E6" s="2" t="s">
        <v>32</v>
      </c>
      <c r="F6" s="2" t="s">
        <v>38</v>
      </c>
      <c r="G6" s="3">
        <v>2295316</v>
      </c>
      <c r="H6" s="3">
        <v>1723387</v>
      </c>
      <c r="I6" s="2" t="s">
        <v>11</v>
      </c>
      <c r="J6" s="3">
        <f t="shared" si="0"/>
        <v>143615.58333333334</v>
      </c>
    </row>
    <row r="7" spans="1:10" x14ac:dyDescent="0.35">
      <c r="A7" s="2" t="s">
        <v>13</v>
      </c>
      <c r="B7" s="2" t="s">
        <v>17</v>
      </c>
      <c r="C7" s="2" t="s">
        <v>19</v>
      </c>
      <c r="D7" s="2" t="s">
        <v>23</v>
      </c>
      <c r="E7" s="2" t="s">
        <v>31</v>
      </c>
      <c r="F7" s="2" t="s">
        <v>36</v>
      </c>
      <c r="G7" s="3">
        <v>2349141</v>
      </c>
      <c r="H7" s="3">
        <v>1925185</v>
      </c>
      <c r="I7" s="2" t="s">
        <v>9</v>
      </c>
      <c r="J7" s="3">
        <f t="shared" si="0"/>
        <v>160432.08333333334</v>
      </c>
    </row>
    <row r="8" spans="1:10" x14ac:dyDescent="0.35">
      <c r="A8" s="2" t="s">
        <v>12</v>
      </c>
      <c r="B8" s="2" t="s">
        <v>15</v>
      </c>
      <c r="C8" s="2" t="s">
        <v>19</v>
      </c>
      <c r="D8" s="2" t="s">
        <v>22</v>
      </c>
      <c r="E8" s="2" t="s">
        <v>30</v>
      </c>
      <c r="F8" s="2" t="s">
        <v>38</v>
      </c>
      <c r="G8" s="3">
        <v>1048792</v>
      </c>
      <c r="H8" s="3">
        <v>739298</v>
      </c>
      <c r="I8" s="2" t="s">
        <v>11</v>
      </c>
      <c r="J8" s="3">
        <f t="shared" si="0"/>
        <v>61608.166666666664</v>
      </c>
    </row>
    <row r="9" spans="1:10" x14ac:dyDescent="0.35">
      <c r="A9" s="2" t="s">
        <v>9</v>
      </c>
      <c r="B9" s="2" t="s">
        <v>16</v>
      </c>
      <c r="C9" s="2" t="s">
        <v>18</v>
      </c>
      <c r="D9" s="2" t="s">
        <v>24</v>
      </c>
      <c r="E9" s="2" t="s">
        <v>33</v>
      </c>
      <c r="F9" s="2" t="s">
        <v>36</v>
      </c>
      <c r="G9" s="3">
        <v>1927394</v>
      </c>
      <c r="H9" s="3">
        <v>1502236</v>
      </c>
      <c r="I9" s="2" t="s">
        <v>9</v>
      </c>
      <c r="J9" s="3">
        <f t="shared" si="0"/>
        <v>125186.33333333333</v>
      </c>
    </row>
    <row r="10" spans="1:10" x14ac:dyDescent="0.35">
      <c r="A10" s="2" t="s">
        <v>9</v>
      </c>
      <c r="B10" s="2" t="s">
        <v>15</v>
      </c>
      <c r="C10" s="2" t="s">
        <v>18</v>
      </c>
      <c r="D10" s="2" t="s">
        <v>24</v>
      </c>
      <c r="E10" s="2" t="s">
        <v>34</v>
      </c>
      <c r="F10" s="2" t="s">
        <v>36</v>
      </c>
      <c r="G10" s="3">
        <v>782641</v>
      </c>
      <c r="H10" s="3">
        <v>549575</v>
      </c>
      <c r="I10" s="2" t="s">
        <v>9</v>
      </c>
      <c r="J10" s="3">
        <f t="shared" si="0"/>
        <v>45797.916666666664</v>
      </c>
    </row>
    <row r="11" spans="1:10" x14ac:dyDescent="0.35">
      <c r="A11" s="2" t="s">
        <v>14</v>
      </c>
      <c r="B11" s="2" t="s">
        <v>16</v>
      </c>
      <c r="C11" s="2" t="s">
        <v>19</v>
      </c>
      <c r="D11" s="2" t="s">
        <v>21</v>
      </c>
      <c r="E11" s="2" t="s">
        <v>35</v>
      </c>
      <c r="F11" s="2" t="s">
        <v>39</v>
      </c>
      <c r="G11" s="3">
        <v>5176803</v>
      </c>
      <c r="H11" s="3">
        <v>4062955</v>
      </c>
      <c r="I11" s="2" t="s">
        <v>40</v>
      </c>
      <c r="J11" s="3">
        <f t="shared" si="0"/>
        <v>338579.58333333331</v>
      </c>
    </row>
    <row r="12" spans="1:10" x14ac:dyDescent="0.35">
      <c r="A12" s="2" t="s">
        <v>12</v>
      </c>
      <c r="B12" s="2" t="s">
        <v>16</v>
      </c>
      <c r="C12" s="2" t="s">
        <v>18</v>
      </c>
      <c r="D12" s="2" t="s">
        <v>25</v>
      </c>
      <c r="E12" s="2" t="s">
        <v>35</v>
      </c>
      <c r="F12" s="2" t="s">
        <v>39</v>
      </c>
      <c r="G12" s="3">
        <v>3043155</v>
      </c>
      <c r="H12" s="3">
        <v>2469327</v>
      </c>
      <c r="I12" s="2" t="s">
        <v>11</v>
      </c>
      <c r="J12" s="3">
        <f t="shared" si="0"/>
        <v>205777.25</v>
      </c>
    </row>
    <row r="13" spans="1:10" x14ac:dyDescent="0.35">
      <c r="A13" s="2" t="s">
        <v>11</v>
      </c>
      <c r="B13" s="2" t="s">
        <v>15</v>
      </c>
      <c r="C13" s="2" t="s">
        <v>18</v>
      </c>
      <c r="D13" s="2" t="s">
        <v>26</v>
      </c>
      <c r="E13" s="2" t="s">
        <v>29</v>
      </c>
      <c r="F13" s="2" t="s">
        <v>37</v>
      </c>
      <c r="G13" s="3">
        <v>913039</v>
      </c>
      <c r="H13" s="3">
        <v>705708</v>
      </c>
      <c r="I13" s="2" t="s">
        <v>11</v>
      </c>
      <c r="J13" s="3">
        <f t="shared" si="0"/>
        <v>58809</v>
      </c>
    </row>
    <row r="14" spans="1:10" x14ac:dyDescent="0.35">
      <c r="A14" s="2" t="s">
        <v>10</v>
      </c>
      <c r="B14" s="2" t="s">
        <v>15</v>
      </c>
      <c r="C14" s="2" t="s">
        <v>19</v>
      </c>
      <c r="D14" s="2" t="s">
        <v>20</v>
      </c>
      <c r="E14" s="2" t="s">
        <v>29</v>
      </c>
      <c r="F14" s="2" t="s">
        <v>38</v>
      </c>
      <c r="G14" s="3">
        <v>1149073</v>
      </c>
      <c r="H14" s="3">
        <v>825363</v>
      </c>
      <c r="I14" s="2" t="s">
        <v>40</v>
      </c>
      <c r="J14" s="3">
        <f t="shared" si="0"/>
        <v>68780.25</v>
      </c>
    </row>
    <row r="15" spans="1:10" x14ac:dyDescent="0.35">
      <c r="A15" s="2" t="s">
        <v>12</v>
      </c>
      <c r="B15" s="2" t="s">
        <v>15</v>
      </c>
      <c r="C15" s="2" t="s">
        <v>19</v>
      </c>
      <c r="D15" s="2" t="s">
        <v>27</v>
      </c>
      <c r="E15" s="2" t="s">
        <v>34</v>
      </c>
      <c r="F15" s="2" t="s">
        <v>36</v>
      </c>
      <c r="G15" s="3">
        <v>1199520</v>
      </c>
      <c r="H15" s="3">
        <v>889105</v>
      </c>
      <c r="I15" s="2" t="s">
        <v>11</v>
      </c>
      <c r="J15" s="3">
        <f t="shared" si="0"/>
        <v>74092.083333333328</v>
      </c>
    </row>
    <row r="16" spans="1:10" x14ac:dyDescent="0.35">
      <c r="A16" s="2" t="s">
        <v>11</v>
      </c>
      <c r="B16" s="2" t="s">
        <v>16</v>
      </c>
      <c r="C16" s="2" t="s">
        <v>18</v>
      </c>
      <c r="D16" s="2" t="s">
        <v>22</v>
      </c>
      <c r="E16" s="2" t="s">
        <v>34</v>
      </c>
      <c r="F16" s="2" t="s">
        <v>38</v>
      </c>
      <c r="G16" s="3">
        <v>3038758</v>
      </c>
      <c r="H16" s="3">
        <v>2423664</v>
      </c>
      <c r="I16" s="2" t="s">
        <v>11</v>
      </c>
      <c r="J16" s="3">
        <f t="shared" si="0"/>
        <v>201972</v>
      </c>
    </row>
    <row r="17" spans="1:10" x14ac:dyDescent="0.35">
      <c r="A17" s="2" t="s">
        <v>11</v>
      </c>
      <c r="B17" s="2" t="s">
        <v>16</v>
      </c>
      <c r="C17" s="2" t="s">
        <v>18</v>
      </c>
      <c r="D17" s="2" t="s">
        <v>22</v>
      </c>
      <c r="E17" s="2" t="s">
        <v>31</v>
      </c>
      <c r="F17" s="2" t="s">
        <v>38</v>
      </c>
      <c r="G17" s="3">
        <v>4732422</v>
      </c>
      <c r="H17" s="3">
        <v>3762954</v>
      </c>
      <c r="I17" s="2" t="s">
        <v>11</v>
      </c>
      <c r="J17" s="3">
        <f t="shared" si="0"/>
        <v>313579.5</v>
      </c>
    </row>
    <row r="18" spans="1:10" x14ac:dyDescent="0.35">
      <c r="A18" s="2" t="s">
        <v>11</v>
      </c>
      <c r="B18" s="2" t="s">
        <v>16</v>
      </c>
      <c r="C18" s="2" t="s">
        <v>19</v>
      </c>
      <c r="D18" s="2" t="s">
        <v>25</v>
      </c>
      <c r="E18" s="2" t="s">
        <v>29</v>
      </c>
      <c r="F18" s="2" t="s">
        <v>36</v>
      </c>
      <c r="G18" s="3">
        <v>4417372</v>
      </c>
      <c r="H18" s="3">
        <v>3561103</v>
      </c>
      <c r="I18" s="2" t="s">
        <v>11</v>
      </c>
      <c r="J18" s="3">
        <f t="shared" si="0"/>
        <v>296758.58333333331</v>
      </c>
    </row>
    <row r="19" spans="1:10" x14ac:dyDescent="0.35">
      <c r="A19" s="2" t="s">
        <v>13</v>
      </c>
      <c r="B19" s="2" t="s">
        <v>17</v>
      </c>
      <c r="C19" s="2" t="s">
        <v>18</v>
      </c>
      <c r="D19" s="2" t="s">
        <v>24</v>
      </c>
      <c r="E19" s="2" t="s">
        <v>29</v>
      </c>
      <c r="F19" s="2" t="s">
        <v>38</v>
      </c>
      <c r="G19" s="3">
        <v>1646385</v>
      </c>
      <c r="H19" s="3">
        <v>1337286</v>
      </c>
      <c r="I19" s="2" t="s">
        <v>9</v>
      </c>
      <c r="J19" s="3">
        <f t="shared" si="0"/>
        <v>111440.5</v>
      </c>
    </row>
    <row r="20" spans="1:10" x14ac:dyDescent="0.35">
      <c r="A20" s="2" t="s">
        <v>10</v>
      </c>
      <c r="B20" s="2" t="s">
        <v>17</v>
      </c>
      <c r="C20" s="2" t="s">
        <v>18</v>
      </c>
      <c r="D20" s="2" t="s">
        <v>28</v>
      </c>
      <c r="E20" s="2" t="s">
        <v>33</v>
      </c>
      <c r="F20" s="2" t="s">
        <v>38</v>
      </c>
      <c r="G20" s="3">
        <v>1870897</v>
      </c>
      <c r="H20" s="3">
        <v>1497880</v>
      </c>
      <c r="I20" s="2" t="s">
        <v>40</v>
      </c>
      <c r="J20" s="3">
        <f t="shared" si="0"/>
        <v>124823.33333333333</v>
      </c>
    </row>
    <row r="21" spans="1:10" x14ac:dyDescent="0.35">
      <c r="A21" s="2" t="s">
        <v>9</v>
      </c>
      <c r="B21" s="2" t="s">
        <v>16</v>
      </c>
      <c r="C21" s="2" t="s">
        <v>19</v>
      </c>
      <c r="D21" s="2" t="s">
        <v>21</v>
      </c>
      <c r="E21" s="2" t="s">
        <v>32</v>
      </c>
      <c r="F21" s="2" t="s">
        <v>39</v>
      </c>
      <c r="G21" s="3">
        <v>2823610</v>
      </c>
      <c r="H21" s="3">
        <v>2192937</v>
      </c>
      <c r="I21" s="2" t="s">
        <v>9</v>
      </c>
      <c r="J21" s="3">
        <f t="shared" si="0"/>
        <v>182744.75</v>
      </c>
    </row>
    <row r="22" spans="1:10" x14ac:dyDescent="0.35">
      <c r="A22" s="2" t="s">
        <v>12</v>
      </c>
      <c r="B22" s="2" t="s">
        <v>17</v>
      </c>
      <c r="C22" s="2" t="s">
        <v>18</v>
      </c>
      <c r="D22" s="2" t="s">
        <v>25</v>
      </c>
      <c r="E22" s="2" t="s">
        <v>31</v>
      </c>
      <c r="F22" s="2" t="s">
        <v>37</v>
      </c>
      <c r="G22" s="3">
        <v>1822472</v>
      </c>
      <c r="H22" s="3">
        <v>1447302</v>
      </c>
      <c r="I22" s="2" t="s">
        <v>11</v>
      </c>
      <c r="J22" s="3">
        <f t="shared" si="0"/>
        <v>120608.5</v>
      </c>
    </row>
    <row r="23" spans="1:10" x14ac:dyDescent="0.35">
      <c r="A23" s="2" t="s">
        <v>12</v>
      </c>
      <c r="B23" s="2" t="s">
        <v>16</v>
      </c>
      <c r="C23" s="2" t="s">
        <v>18</v>
      </c>
      <c r="D23" s="2" t="s">
        <v>28</v>
      </c>
      <c r="E23" s="2" t="s">
        <v>31</v>
      </c>
      <c r="F23" s="2" t="s">
        <v>36</v>
      </c>
      <c r="G23" s="3">
        <v>4597218</v>
      </c>
      <c r="H23" s="3">
        <v>3346087</v>
      </c>
      <c r="I23" s="2" t="s">
        <v>11</v>
      </c>
      <c r="J23" s="3">
        <f t="shared" si="0"/>
        <v>278840.58333333331</v>
      </c>
    </row>
    <row r="24" spans="1:10" x14ac:dyDescent="0.35">
      <c r="A24" s="2" t="s">
        <v>13</v>
      </c>
      <c r="B24" s="2" t="s">
        <v>15</v>
      </c>
      <c r="C24" s="2" t="s">
        <v>19</v>
      </c>
      <c r="D24" s="2" t="s">
        <v>21</v>
      </c>
      <c r="E24" s="2" t="s">
        <v>33</v>
      </c>
      <c r="F24" s="2" t="s">
        <v>38</v>
      </c>
      <c r="G24" s="3">
        <v>701146</v>
      </c>
      <c r="H24" s="3">
        <v>551232</v>
      </c>
      <c r="I24" s="2" t="s">
        <v>9</v>
      </c>
      <c r="J24" s="3">
        <f t="shared" si="0"/>
        <v>45936</v>
      </c>
    </row>
    <row r="25" spans="1:10" x14ac:dyDescent="0.35">
      <c r="A25" s="2" t="s">
        <v>13</v>
      </c>
      <c r="B25" s="2" t="s">
        <v>15</v>
      </c>
      <c r="C25" s="2" t="s">
        <v>19</v>
      </c>
      <c r="D25" s="2" t="s">
        <v>27</v>
      </c>
      <c r="E25" s="2" t="s">
        <v>30</v>
      </c>
      <c r="F25" s="2" t="s">
        <v>38</v>
      </c>
      <c r="G25" s="3">
        <v>792033</v>
      </c>
      <c r="H25" s="3">
        <v>623704</v>
      </c>
      <c r="I25" s="2" t="s">
        <v>9</v>
      </c>
      <c r="J25" s="3">
        <f t="shared" si="0"/>
        <v>51975.333333333336</v>
      </c>
    </row>
    <row r="26" spans="1:10" x14ac:dyDescent="0.35">
      <c r="A26" s="2" t="s">
        <v>14</v>
      </c>
      <c r="B26" s="2" t="s">
        <v>16</v>
      </c>
      <c r="C26" s="2" t="s">
        <v>18</v>
      </c>
      <c r="D26" s="2" t="s">
        <v>24</v>
      </c>
      <c r="E26" s="2" t="s">
        <v>30</v>
      </c>
      <c r="F26" s="2" t="s">
        <v>39</v>
      </c>
      <c r="G26" s="3">
        <v>4938490</v>
      </c>
      <c r="H26" s="3">
        <v>3927284</v>
      </c>
      <c r="I26" s="2" t="s">
        <v>40</v>
      </c>
      <c r="J26" s="3">
        <f t="shared" si="0"/>
        <v>327273.66666666669</v>
      </c>
    </row>
    <row r="27" spans="1:10" x14ac:dyDescent="0.35">
      <c r="A27" s="2" t="s">
        <v>13</v>
      </c>
      <c r="B27" s="2" t="s">
        <v>17</v>
      </c>
      <c r="C27" s="2" t="s">
        <v>18</v>
      </c>
      <c r="D27" s="2" t="s">
        <v>20</v>
      </c>
      <c r="E27" s="2" t="s">
        <v>30</v>
      </c>
      <c r="F27" s="2" t="s">
        <v>38</v>
      </c>
      <c r="G27" s="3">
        <v>1788480</v>
      </c>
      <c r="H27" s="3">
        <v>1353966</v>
      </c>
      <c r="I27" s="2" t="s">
        <v>9</v>
      </c>
      <c r="J27" s="3">
        <f t="shared" si="0"/>
        <v>112830.5</v>
      </c>
    </row>
    <row r="28" spans="1:10" x14ac:dyDescent="0.35">
      <c r="A28" s="2" t="s">
        <v>12</v>
      </c>
      <c r="B28" s="2" t="s">
        <v>17</v>
      </c>
      <c r="C28" s="2" t="s">
        <v>19</v>
      </c>
      <c r="D28" s="2" t="s">
        <v>24</v>
      </c>
      <c r="E28" s="2" t="s">
        <v>31</v>
      </c>
      <c r="F28" s="2" t="s">
        <v>36</v>
      </c>
      <c r="G28" s="3">
        <v>2021805</v>
      </c>
      <c r="H28" s="3">
        <v>1615172</v>
      </c>
      <c r="I28" s="2" t="s">
        <v>11</v>
      </c>
      <c r="J28" s="3">
        <f t="shared" si="0"/>
        <v>134597.66666666666</v>
      </c>
    </row>
    <row r="29" spans="1:10" x14ac:dyDescent="0.35">
      <c r="A29" s="2" t="s">
        <v>11</v>
      </c>
      <c r="B29" s="2" t="s">
        <v>15</v>
      </c>
      <c r="C29" s="2" t="s">
        <v>18</v>
      </c>
      <c r="D29" s="2" t="s">
        <v>27</v>
      </c>
      <c r="E29" s="2" t="s">
        <v>33</v>
      </c>
      <c r="F29" s="2" t="s">
        <v>36</v>
      </c>
      <c r="G29" s="3">
        <v>964572</v>
      </c>
      <c r="H29" s="3">
        <v>744553</v>
      </c>
      <c r="I29" s="2" t="s">
        <v>11</v>
      </c>
      <c r="J29" s="3">
        <f t="shared" si="0"/>
        <v>62046.083333333336</v>
      </c>
    </row>
    <row r="30" spans="1:10" x14ac:dyDescent="0.35">
      <c r="A30" s="2" t="s">
        <v>10</v>
      </c>
      <c r="B30" s="2" t="s">
        <v>16</v>
      </c>
      <c r="C30" s="2" t="s">
        <v>18</v>
      </c>
      <c r="D30" s="2" t="s">
        <v>26</v>
      </c>
      <c r="E30" s="2" t="s">
        <v>35</v>
      </c>
      <c r="F30" s="2" t="s">
        <v>39</v>
      </c>
      <c r="G30" s="3">
        <v>4670776</v>
      </c>
      <c r="H30" s="3">
        <v>3565138</v>
      </c>
      <c r="I30" s="2" t="s">
        <v>40</v>
      </c>
      <c r="J30" s="3">
        <f t="shared" si="0"/>
        <v>297094.83333333331</v>
      </c>
    </row>
    <row r="31" spans="1:10" x14ac:dyDescent="0.35">
      <c r="A31" s="2" t="s">
        <v>13</v>
      </c>
      <c r="B31" s="2" t="s">
        <v>15</v>
      </c>
      <c r="C31" s="2" t="s">
        <v>19</v>
      </c>
      <c r="D31" s="2" t="s">
        <v>28</v>
      </c>
      <c r="E31" s="2" t="s">
        <v>35</v>
      </c>
      <c r="F31" s="2" t="s">
        <v>39</v>
      </c>
      <c r="G31" s="3">
        <v>522076</v>
      </c>
      <c r="H31" s="3">
        <v>396454</v>
      </c>
      <c r="I31" s="2" t="s">
        <v>9</v>
      </c>
      <c r="J31" s="3">
        <f t="shared" si="0"/>
        <v>33037.833333333336</v>
      </c>
    </row>
    <row r="32" spans="1:10" x14ac:dyDescent="0.35">
      <c r="A32" s="2" t="s">
        <v>9</v>
      </c>
      <c r="B32" s="2" t="s">
        <v>16</v>
      </c>
      <c r="C32" s="2" t="s">
        <v>19</v>
      </c>
      <c r="D32" s="2" t="s">
        <v>28</v>
      </c>
      <c r="E32" s="2" t="s">
        <v>35</v>
      </c>
      <c r="F32" s="2" t="s">
        <v>37</v>
      </c>
      <c r="G32" s="3">
        <v>1877762</v>
      </c>
      <c r="H32" s="3">
        <v>1329072</v>
      </c>
      <c r="I32" s="2" t="s">
        <v>9</v>
      </c>
      <c r="J32" s="3">
        <f t="shared" si="0"/>
        <v>110756</v>
      </c>
    </row>
    <row r="33" spans="1:10" x14ac:dyDescent="0.35">
      <c r="A33" s="2" t="s">
        <v>11</v>
      </c>
      <c r="B33" s="2" t="s">
        <v>16</v>
      </c>
      <c r="C33" s="2" t="s">
        <v>19</v>
      </c>
      <c r="D33" s="2" t="s">
        <v>22</v>
      </c>
      <c r="E33" s="2" t="s">
        <v>34</v>
      </c>
      <c r="F33" s="2" t="s">
        <v>37</v>
      </c>
      <c r="G33" s="3">
        <v>2586200</v>
      </c>
      <c r="H33" s="3">
        <v>2076008</v>
      </c>
      <c r="I33" s="2" t="s">
        <v>11</v>
      </c>
      <c r="J33" s="3">
        <f t="shared" si="0"/>
        <v>173000.66666666666</v>
      </c>
    </row>
    <row r="34" spans="1:10" x14ac:dyDescent="0.35">
      <c r="A34" s="2" t="s">
        <v>9</v>
      </c>
      <c r="B34" s="2" t="s">
        <v>16</v>
      </c>
      <c r="C34" s="2" t="s">
        <v>18</v>
      </c>
      <c r="D34" s="2" t="s">
        <v>23</v>
      </c>
      <c r="E34" s="2" t="s">
        <v>29</v>
      </c>
      <c r="F34" s="2" t="s">
        <v>36</v>
      </c>
      <c r="G34" s="3">
        <v>3371027</v>
      </c>
      <c r="H34" s="3">
        <v>2422438</v>
      </c>
      <c r="I34" s="2" t="s">
        <v>9</v>
      </c>
      <c r="J34" s="3">
        <f t="shared" si="0"/>
        <v>201869.83333333334</v>
      </c>
    </row>
    <row r="35" spans="1:10" x14ac:dyDescent="0.35">
      <c r="A35" s="2" t="s">
        <v>12</v>
      </c>
      <c r="B35" s="2" t="s">
        <v>16</v>
      </c>
      <c r="C35" s="2" t="s">
        <v>19</v>
      </c>
      <c r="D35" s="2" t="s">
        <v>26</v>
      </c>
      <c r="E35" s="2" t="s">
        <v>30</v>
      </c>
      <c r="F35" s="2" t="s">
        <v>39</v>
      </c>
      <c r="G35" s="3">
        <v>4595401</v>
      </c>
      <c r="H35" s="3">
        <v>3526494</v>
      </c>
      <c r="I35" s="2" t="s">
        <v>11</v>
      </c>
      <c r="J35" s="3">
        <f t="shared" si="0"/>
        <v>293874.5</v>
      </c>
    </row>
    <row r="36" spans="1:10" x14ac:dyDescent="0.35">
      <c r="A36" s="2" t="s">
        <v>13</v>
      </c>
      <c r="B36" s="2" t="s">
        <v>16</v>
      </c>
      <c r="C36" s="2" t="s">
        <v>19</v>
      </c>
      <c r="D36" s="2" t="s">
        <v>20</v>
      </c>
      <c r="E36" s="2" t="s">
        <v>35</v>
      </c>
      <c r="F36" s="2" t="s">
        <v>37</v>
      </c>
      <c r="G36" s="3">
        <v>3699077</v>
      </c>
      <c r="H36" s="3">
        <v>2972021</v>
      </c>
      <c r="I36" s="2" t="s">
        <v>9</v>
      </c>
      <c r="J36" s="3">
        <f t="shared" si="0"/>
        <v>247668.41666666666</v>
      </c>
    </row>
    <row r="37" spans="1:10" x14ac:dyDescent="0.35">
      <c r="A37" s="2" t="s">
        <v>9</v>
      </c>
      <c r="B37" s="2" t="s">
        <v>17</v>
      </c>
      <c r="C37" s="2" t="s">
        <v>18</v>
      </c>
      <c r="D37" s="2" t="s">
        <v>23</v>
      </c>
      <c r="E37" s="2" t="s">
        <v>30</v>
      </c>
      <c r="F37" s="2" t="s">
        <v>39</v>
      </c>
      <c r="G37" s="3">
        <v>811254</v>
      </c>
      <c r="H37" s="3">
        <v>613076</v>
      </c>
      <c r="I37" s="2" t="s">
        <v>9</v>
      </c>
      <c r="J37" s="3">
        <f t="shared" si="0"/>
        <v>51089.666666666664</v>
      </c>
    </row>
    <row r="38" spans="1:10" x14ac:dyDescent="0.35">
      <c r="A38" s="2" t="s">
        <v>10</v>
      </c>
      <c r="B38" s="2" t="s">
        <v>15</v>
      </c>
      <c r="C38" s="2" t="s">
        <v>18</v>
      </c>
      <c r="D38" s="2" t="s">
        <v>20</v>
      </c>
      <c r="E38" s="2" t="s">
        <v>32</v>
      </c>
      <c r="F38" s="2" t="s">
        <v>36</v>
      </c>
      <c r="G38" s="3">
        <v>797423</v>
      </c>
      <c r="H38" s="3">
        <v>560636</v>
      </c>
      <c r="I38" s="2" t="s">
        <v>40</v>
      </c>
      <c r="J38" s="3">
        <f t="shared" si="0"/>
        <v>46719.666666666664</v>
      </c>
    </row>
    <row r="39" spans="1:10" x14ac:dyDescent="0.35">
      <c r="A39" s="2" t="s">
        <v>11</v>
      </c>
      <c r="B39" s="2" t="s">
        <v>17</v>
      </c>
      <c r="C39" s="2" t="s">
        <v>18</v>
      </c>
      <c r="D39" s="2" t="s">
        <v>21</v>
      </c>
      <c r="E39" s="2" t="s">
        <v>30</v>
      </c>
      <c r="F39" s="2" t="s">
        <v>36</v>
      </c>
      <c r="G39" s="3">
        <v>1368029</v>
      </c>
      <c r="H39" s="3">
        <v>992691</v>
      </c>
      <c r="I39" s="2" t="s">
        <v>11</v>
      </c>
      <c r="J39" s="3">
        <f t="shared" si="0"/>
        <v>82724.25</v>
      </c>
    </row>
    <row r="40" spans="1:10" x14ac:dyDescent="0.35">
      <c r="A40" s="2" t="s">
        <v>10</v>
      </c>
      <c r="B40" s="2" t="s">
        <v>16</v>
      </c>
      <c r="C40" s="2" t="s">
        <v>18</v>
      </c>
      <c r="D40" s="2" t="s">
        <v>28</v>
      </c>
      <c r="E40" s="2" t="s">
        <v>30</v>
      </c>
      <c r="F40" s="2" t="s">
        <v>36</v>
      </c>
      <c r="G40" s="3">
        <v>3953040</v>
      </c>
      <c r="H40" s="3">
        <v>2879740</v>
      </c>
      <c r="I40" s="2" t="s">
        <v>40</v>
      </c>
      <c r="J40" s="3">
        <f t="shared" si="0"/>
        <v>239978.33333333334</v>
      </c>
    </row>
    <row r="41" spans="1:10" x14ac:dyDescent="0.35">
      <c r="A41" s="2" t="s">
        <v>13</v>
      </c>
      <c r="B41" s="2" t="s">
        <v>16</v>
      </c>
      <c r="C41" s="2" t="s">
        <v>18</v>
      </c>
      <c r="D41" s="2" t="s">
        <v>25</v>
      </c>
      <c r="E41" s="2" t="s">
        <v>29</v>
      </c>
      <c r="F41" s="2" t="s">
        <v>39</v>
      </c>
      <c r="G41" s="3">
        <v>3998719</v>
      </c>
      <c r="H41" s="3">
        <v>3243852</v>
      </c>
      <c r="I41" s="2" t="s">
        <v>9</v>
      </c>
      <c r="J41" s="3">
        <f t="shared" si="0"/>
        <v>270321</v>
      </c>
    </row>
    <row r="42" spans="1:10" x14ac:dyDescent="0.35">
      <c r="A42" s="2" t="s">
        <v>14</v>
      </c>
      <c r="B42" s="2" t="s">
        <v>17</v>
      </c>
      <c r="C42" s="2" t="s">
        <v>19</v>
      </c>
      <c r="D42" s="2" t="s">
        <v>22</v>
      </c>
      <c r="E42" s="2" t="s">
        <v>32</v>
      </c>
      <c r="F42" s="2" t="s">
        <v>36</v>
      </c>
      <c r="G42" s="3">
        <v>2567318</v>
      </c>
      <c r="H42" s="3">
        <v>1951332</v>
      </c>
      <c r="I42" s="2" t="s">
        <v>40</v>
      </c>
      <c r="J42" s="3">
        <f t="shared" si="0"/>
        <v>162611</v>
      </c>
    </row>
    <row r="43" spans="1:10" x14ac:dyDescent="0.35">
      <c r="A43" s="2" t="s">
        <v>11</v>
      </c>
      <c r="B43" s="2" t="s">
        <v>16</v>
      </c>
      <c r="C43" s="2" t="s">
        <v>18</v>
      </c>
      <c r="D43" s="2" t="s">
        <v>26</v>
      </c>
      <c r="E43" s="2" t="s">
        <v>34</v>
      </c>
      <c r="F43" s="2" t="s">
        <v>36</v>
      </c>
      <c r="G43" s="3">
        <v>2670661</v>
      </c>
      <c r="H43" s="3">
        <v>2046314</v>
      </c>
      <c r="I43" s="2" t="s">
        <v>11</v>
      </c>
      <c r="J43" s="3">
        <f t="shared" si="0"/>
        <v>170526.16666666666</v>
      </c>
    </row>
    <row r="44" spans="1:10" x14ac:dyDescent="0.35">
      <c r="A44" s="2" t="s">
        <v>14</v>
      </c>
      <c r="B44" s="2" t="s">
        <v>15</v>
      </c>
      <c r="C44" s="2" t="s">
        <v>19</v>
      </c>
      <c r="D44" s="2" t="s">
        <v>25</v>
      </c>
      <c r="E44" s="2" t="s">
        <v>33</v>
      </c>
      <c r="F44" s="2" t="s">
        <v>36</v>
      </c>
      <c r="G44" s="3">
        <v>1157398</v>
      </c>
      <c r="H44" s="3">
        <v>879815</v>
      </c>
      <c r="I44" s="2" t="s">
        <v>40</v>
      </c>
      <c r="J44" s="3">
        <f t="shared" si="0"/>
        <v>73317.916666666672</v>
      </c>
    </row>
    <row r="45" spans="1:10" x14ac:dyDescent="0.35">
      <c r="A45" s="2" t="s">
        <v>9</v>
      </c>
      <c r="B45" s="2" t="s">
        <v>15</v>
      </c>
      <c r="C45" s="2" t="s">
        <v>18</v>
      </c>
      <c r="D45" s="2" t="s">
        <v>24</v>
      </c>
      <c r="E45" s="2" t="s">
        <v>35</v>
      </c>
      <c r="F45" s="2" t="s">
        <v>37</v>
      </c>
      <c r="G45" s="3">
        <v>554183</v>
      </c>
      <c r="H45" s="3">
        <v>442341</v>
      </c>
      <c r="I45" s="2" t="s">
        <v>9</v>
      </c>
      <c r="J45" s="3">
        <f t="shared" si="0"/>
        <v>36861.75</v>
      </c>
    </row>
    <row r="46" spans="1:10" x14ac:dyDescent="0.35">
      <c r="A46" s="2" t="s">
        <v>9</v>
      </c>
      <c r="B46" s="2" t="s">
        <v>17</v>
      </c>
      <c r="C46" s="2" t="s">
        <v>19</v>
      </c>
      <c r="D46" s="2" t="s">
        <v>20</v>
      </c>
      <c r="E46" s="2" t="s">
        <v>33</v>
      </c>
      <c r="F46" s="2" t="s">
        <v>36</v>
      </c>
      <c r="G46" s="3">
        <v>801616</v>
      </c>
      <c r="H46" s="3">
        <v>607449</v>
      </c>
      <c r="I46" s="2" t="s">
        <v>9</v>
      </c>
      <c r="J46" s="3">
        <f t="shared" si="0"/>
        <v>50620.75</v>
      </c>
    </row>
    <row r="47" spans="1:10" x14ac:dyDescent="0.35">
      <c r="A47" s="2" t="s">
        <v>13</v>
      </c>
      <c r="B47" s="2" t="s">
        <v>17</v>
      </c>
      <c r="C47" s="2" t="s">
        <v>18</v>
      </c>
      <c r="D47" s="2" t="s">
        <v>25</v>
      </c>
      <c r="E47" s="2" t="s">
        <v>30</v>
      </c>
      <c r="F47" s="2" t="s">
        <v>36</v>
      </c>
      <c r="G47" s="3">
        <v>1436701</v>
      </c>
      <c r="H47" s="3">
        <v>1153409</v>
      </c>
      <c r="I47" s="2" t="s">
        <v>9</v>
      </c>
      <c r="J47" s="3">
        <f t="shared" si="0"/>
        <v>96117.416666666672</v>
      </c>
    </row>
    <row r="48" spans="1:10" x14ac:dyDescent="0.35">
      <c r="A48" s="2" t="s">
        <v>12</v>
      </c>
      <c r="B48" s="2" t="s">
        <v>16</v>
      </c>
      <c r="C48" s="2" t="s">
        <v>19</v>
      </c>
      <c r="D48" s="2" t="s">
        <v>20</v>
      </c>
      <c r="E48" s="2" t="s">
        <v>29</v>
      </c>
      <c r="F48" s="2" t="s">
        <v>37</v>
      </c>
      <c r="G48" s="3">
        <v>4831609</v>
      </c>
      <c r="H48" s="3">
        <v>3642915</v>
      </c>
      <c r="I48" s="2" t="s">
        <v>11</v>
      </c>
      <c r="J48" s="3">
        <f t="shared" si="0"/>
        <v>303576.25</v>
      </c>
    </row>
    <row r="49" spans="1:10" x14ac:dyDescent="0.35">
      <c r="A49" s="2" t="s">
        <v>14</v>
      </c>
      <c r="B49" s="2" t="s">
        <v>16</v>
      </c>
      <c r="C49" s="2" t="s">
        <v>19</v>
      </c>
      <c r="D49" s="2" t="s">
        <v>21</v>
      </c>
      <c r="E49" s="2" t="s">
        <v>29</v>
      </c>
      <c r="F49" s="2" t="s">
        <v>36</v>
      </c>
      <c r="G49" s="3">
        <v>6736461</v>
      </c>
      <c r="H49" s="3">
        <v>4860164</v>
      </c>
      <c r="I49" s="2" t="s">
        <v>40</v>
      </c>
      <c r="J49" s="3">
        <f t="shared" si="0"/>
        <v>405013.66666666669</v>
      </c>
    </row>
    <row r="50" spans="1:10" x14ac:dyDescent="0.35">
      <c r="A50" s="2" t="s">
        <v>13</v>
      </c>
      <c r="B50" s="2" t="s">
        <v>15</v>
      </c>
      <c r="C50" s="2" t="s">
        <v>18</v>
      </c>
      <c r="D50" s="2" t="s">
        <v>24</v>
      </c>
      <c r="E50" s="2" t="s">
        <v>30</v>
      </c>
      <c r="F50" s="2" t="s">
        <v>39</v>
      </c>
      <c r="G50" s="3">
        <v>1051653</v>
      </c>
      <c r="H50" s="3">
        <v>854043</v>
      </c>
      <c r="I50" s="2" t="s">
        <v>9</v>
      </c>
      <c r="J50" s="3">
        <f t="shared" si="0"/>
        <v>71170.25</v>
      </c>
    </row>
    <row r="51" spans="1:10" x14ac:dyDescent="0.35">
      <c r="A51" s="2" t="s">
        <v>11</v>
      </c>
      <c r="B51" s="2" t="s">
        <v>15</v>
      </c>
      <c r="C51" s="2" t="s">
        <v>18</v>
      </c>
      <c r="D51" s="2" t="s">
        <v>21</v>
      </c>
      <c r="E51" s="2" t="s">
        <v>31</v>
      </c>
      <c r="F51" s="2" t="s">
        <v>37</v>
      </c>
      <c r="G51" s="3">
        <v>413916</v>
      </c>
      <c r="H51" s="3">
        <v>292660</v>
      </c>
      <c r="I51" s="2" t="s">
        <v>11</v>
      </c>
      <c r="J51" s="3">
        <f t="shared" si="0"/>
        <v>24388.333333333332</v>
      </c>
    </row>
    <row r="52" spans="1:10" x14ac:dyDescent="0.35">
      <c r="A52" s="2" t="s">
        <v>9</v>
      </c>
      <c r="B52" s="2" t="s">
        <v>15</v>
      </c>
      <c r="C52" s="2" t="s">
        <v>18</v>
      </c>
      <c r="D52" s="2" t="s">
        <v>26</v>
      </c>
      <c r="E52" s="2" t="s">
        <v>31</v>
      </c>
      <c r="F52" s="2" t="s">
        <v>37</v>
      </c>
      <c r="G52" s="3">
        <v>427242</v>
      </c>
      <c r="H52" s="3">
        <v>337065</v>
      </c>
      <c r="I52" s="2" t="s">
        <v>9</v>
      </c>
      <c r="J52" s="3">
        <f t="shared" si="0"/>
        <v>28088.75</v>
      </c>
    </row>
    <row r="53" spans="1:10" x14ac:dyDescent="0.35">
      <c r="A53" s="2" t="s">
        <v>11</v>
      </c>
      <c r="B53" s="2" t="s">
        <v>15</v>
      </c>
      <c r="C53" s="2" t="s">
        <v>18</v>
      </c>
      <c r="D53" s="2" t="s">
        <v>20</v>
      </c>
      <c r="E53" s="2" t="s">
        <v>29</v>
      </c>
      <c r="F53" s="2" t="s">
        <v>38</v>
      </c>
      <c r="G53" s="3">
        <v>816294</v>
      </c>
      <c r="H53" s="3">
        <v>639617</v>
      </c>
      <c r="I53" s="2" t="s">
        <v>11</v>
      </c>
      <c r="J53" s="3">
        <f t="shared" si="0"/>
        <v>53301.416666666664</v>
      </c>
    </row>
    <row r="54" spans="1:10" x14ac:dyDescent="0.35">
      <c r="A54" s="2" t="s">
        <v>13</v>
      </c>
      <c r="B54" s="2" t="s">
        <v>15</v>
      </c>
      <c r="C54" s="2" t="s">
        <v>18</v>
      </c>
      <c r="D54" s="2" t="s">
        <v>25</v>
      </c>
      <c r="E54" s="2" t="s">
        <v>30</v>
      </c>
      <c r="F54" s="2" t="s">
        <v>38</v>
      </c>
      <c r="G54" s="3">
        <v>1190382</v>
      </c>
      <c r="H54" s="3">
        <v>879147</v>
      </c>
      <c r="I54" s="2" t="s">
        <v>9</v>
      </c>
      <c r="J54" s="3">
        <f t="shared" si="0"/>
        <v>73262.25</v>
      </c>
    </row>
    <row r="55" spans="1:10" x14ac:dyDescent="0.35">
      <c r="A55" s="2" t="s">
        <v>14</v>
      </c>
      <c r="B55" s="2" t="s">
        <v>15</v>
      </c>
      <c r="C55" s="2" t="s">
        <v>18</v>
      </c>
      <c r="D55" s="2" t="s">
        <v>27</v>
      </c>
      <c r="E55" s="2" t="s">
        <v>32</v>
      </c>
      <c r="F55" s="2" t="s">
        <v>38</v>
      </c>
      <c r="G55" s="3">
        <v>1190802</v>
      </c>
      <c r="H55" s="3">
        <v>845821</v>
      </c>
      <c r="I55" s="2" t="s">
        <v>40</v>
      </c>
      <c r="J55" s="3">
        <f t="shared" si="0"/>
        <v>70485.083333333328</v>
      </c>
    </row>
    <row r="56" spans="1:10" x14ac:dyDescent="0.35">
      <c r="A56" s="2" t="s">
        <v>10</v>
      </c>
      <c r="B56" s="2" t="s">
        <v>16</v>
      </c>
      <c r="C56" s="2" t="s">
        <v>19</v>
      </c>
      <c r="D56" s="2" t="s">
        <v>25</v>
      </c>
      <c r="E56" s="2" t="s">
        <v>31</v>
      </c>
      <c r="F56" s="2" t="s">
        <v>38</v>
      </c>
      <c r="G56" s="3">
        <v>6322725</v>
      </c>
      <c r="H56" s="3">
        <v>4801628</v>
      </c>
      <c r="I56" s="2" t="s">
        <v>40</v>
      </c>
      <c r="J56" s="3">
        <f t="shared" si="0"/>
        <v>400135.66666666669</v>
      </c>
    </row>
    <row r="57" spans="1:10" x14ac:dyDescent="0.35">
      <c r="A57" s="2" t="s">
        <v>9</v>
      </c>
      <c r="B57" s="2" t="s">
        <v>15</v>
      </c>
      <c r="C57" s="2" t="s">
        <v>18</v>
      </c>
      <c r="D57" s="2" t="s">
        <v>27</v>
      </c>
      <c r="E57" s="2" t="s">
        <v>30</v>
      </c>
      <c r="F57" s="2" t="s">
        <v>37</v>
      </c>
      <c r="G57" s="3">
        <v>456968</v>
      </c>
      <c r="H57" s="3">
        <v>331551</v>
      </c>
      <c r="I57" s="2" t="s">
        <v>9</v>
      </c>
      <c r="J57" s="3">
        <f t="shared" si="0"/>
        <v>27629.25</v>
      </c>
    </row>
    <row r="58" spans="1:10" x14ac:dyDescent="0.35">
      <c r="A58" s="2" t="s">
        <v>12</v>
      </c>
      <c r="B58" s="2" t="s">
        <v>15</v>
      </c>
      <c r="C58" s="2" t="s">
        <v>18</v>
      </c>
      <c r="D58" s="2" t="s">
        <v>28</v>
      </c>
      <c r="E58" s="2" t="s">
        <v>33</v>
      </c>
      <c r="F58" s="2" t="s">
        <v>39</v>
      </c>
      <c r="G58" s="3">
        <v>1170516</v>
      </c>
      <c r="H58" s="3">
        <v>923411</v>
      </c>
      <c r="I58" s="2" t="s">
        <v>11</v>
      </c>
      <c r="J58" s="3">
        <f t="shared" si="0"/>
        <v>76950.916666666672</v>
      </c>
    </row>
    <row r="59" spans="1:10" x14ac:dyDescent="0.35">
      <c r="A59" s="2" t="s">
        <v>9</v>
      </c>
      <c r="B59" s="2" t="s">
        <v>15</v>
      </c>
      <c r="C59" s="2" t="s">
        <v>18</v>
      </c>
      <c r="D59" s="2" t="s">
        <v>27</v>
      </c>
      <c r="E59" s="2" t="s">
        <v>34</v>
      </c>
      <c r="F59" s="2" t="s">
        <v>38</v>
      </c>
      <c r="G59" s="3">
        <v>773624</v>
      </c>
      <c r="H59" s="3">
        <v>591845</v>
      </c>
      <c r="I59" s="2" t="s">
        <v>9</v>
      </c>
      <c r="J59" s="3">
        <f t="shared" si="0"/>
        <v>49320.416666666664</v>
      </c>
    </row>
    <row r="60" spans="1:10" x14ac:dyDescent="0.35">
      <c r="A60" s="2" t="s">
        <v>13</v>
      </c>
      <c r="B60" s="2" t="s">
        <v>16</v>
      </c>
      <c r="C60" s="2" t="s">
        <v>19</v>
      </c>
      <c r="D60" s="2" t="s">
        <v>20</v>
      </c>
      <c r="E60" s="2" t="s">
        <v>31</v>
      </c>
      <c r="F60" s="2" t="s">
        <v>38</v>
      </c>
      <c r="G60" s="3">
        <v>4632360</v>
      </c>
      <c r="H60" s="3">
        <v>3572118</v>
      </c>
      <c r="I60" s="2" t="s">
        <v>9</v>
      </c>
      <c r="J60" s="3">
        <f t="shared" si="0"/>
        <v>297676.5</v>
      </c>
    </row>
    <row r="61" spans="1:10" x14ac:dyDescent="0.35">
      <c r="A61" s="2" t="s">
        <v>13</v>
      </c>
      <c r="B61" s="2" t="s">
        <v>15</v>
      </c>
      <c r="C61" s="2" t="s">
        <v>18</v>
      </c>
      <c r="D61" s="2" t="s">
        <v>20</v>
      </c>
      <c r="E61" s="2" t="s">
        <v>29</v>
      </c>
      <c r="F61" s="2" t="s">
        <v>39</v>
      </c>
      <c r="G61" s="3">
        <v>1084124</v>
      </c>
      <c r="H61" s="3">
        <v>784891</v>
      </c>
      <c r="I61" s="2" t="s">
        <v>9</v>
      </c>
      <c r="J61" s="3">
        <f t="shared" si="0"/>
        <v>65407.583333333336</v>
      </c>
    </row>
    <row r="62" spans="1:10" x14ac:dyDescent="0.35">
      <c r="A62" s="2" t="s">
        <v>13</v>
      </c>
      <c r="B62" s="2" t="s">
        <v>17</v>
      </c>
      <c r="C62" s="2" t="s">
        <v>18</v>
      </c>
      <c r="D62" s="2" t="s">
        <v>27</v>
      </c>
      <c r="E62" s="2" t="s">
        <v>34</v>
      </c>
      <c r="F62" s="2" t="s">
        <v>37</v>
      </c>
      <c r="G62" s="3">
        <v>1299966</v>
      </c>
      <c r="H62" s="3">
        <v>947062</v>
      </c>
      <c r="I62" s="2" t="s">
        <v>9</v>
      </c>
      <c r="J62" s="3">
        <f t="shared" si="0"/>
        <v>78921.833333333328</v>
      </c>
    </row>
    <row r="63" spans="1:10" x14ac:dyDescent="0.35">
      <c r="A63" s="2" t="s">
        <v>14</v>
      </c>
      <c r="B63" s="2" t="s">
        <v>17</v>
      </c>
      <c r="C63" s="2" t="s">
        <v>19</v>
      </c>
      <c r="D63" s="2" t="s">
        <v>22</v>
      </c>
      <c r="E63" s="2" t="s">
        <v>35</v>
      </c>
      <c r="F63" s="2" t="s">
        <v>38</v>
      </c>
      <c r="G63" s="3">
        <v>2058161</v>
      </c>
      <c r="H63" s="3">
        <v>1599733</v>
      </c>
      <c r="I63" s="2" t="s">
        <v>40</v>
      </c>
      <c r="J63" s="3">
        <f t="shared" si="0"/>
        <v>133311.08333333334</v>
      </c>
    </row>
    <row r="64" spans="1:10" x14ac:dyDescent="0.35">
      <c r="A64" s="2" t="s">
        <v>12</v>
      </c>
      <c r="B64" s="2" t="s">
        <v>16</v>
      </c>
      <c r="C64" s="2" t="s">
        <v>18</v>
      </c>
      <c r="D64" s="2" t="s">
        <v>22</v>
      </c>
      <c r="E64" s="2" t="s">
        <v>32</v>
      </c>
      <c r="F64" s="2" t="s">
        <v>39</v>
      </c>
      <c r="G64" s="3">
        <v>5401533</v>
      </c>
      <c r="H64" s="3">
        <v>3813137</v>
      </c>
      <c r="I64" s="2" t="s">
        <v>11</v>
      </c>
      <c r="J64" s="3">
        <f t="shared" si="0"/>
        <v>317761.41666666669</v>
      </c>
    </row>
    <row r="65" spans="1:10" x14ac:dyDescent="0.35">
      <c r="A65" s="2" t="s">
        <v>9</v>
      </c>
      <c r="B65" s="2" t="s">
        <v>16</v>
      </c>
      <c r="C65" s="2" t="s">
        <v>18</v>
      </c>
      <c r="D65" s="2" t="s">
        <v>22</v>
      </c>
      <c r="E65" s="2" t="s">
        <v>34</v>
      </c>
      <c r="F65" s="2" t="s">
        <v>39</v>
      </c>
      <c r="G65" s="3">
        <v>2532927</v>
      </c>
      <c r="H65" s="3">
        <v>2054019</v>
      </c>
      <c r="I65" s="2" t="s">
        <v>9</v>
      </c>
      <c r="J65" s="3">
        <f t="shared" si="0"/>
        <v>171168.25</v>
      </c>
    </row>
    <row r="66" spans="1:10" x14ac:dyDescent="0.35">
      <c r="A66" s="2" t="s">
        <v>13</v>
      </c>
      <c r="B66" s="2" t="s">
        <v>16</v>
      </c>
      <c r="C66" s="2" t="s">
        <v>19</v>
      </c>
      <c r="D66" s="2" t="s">
        <v>26</v>
      </c>
      <c r="E66" s="2" t="s">
        <v>30</v>
      </c>
      <c r="F66" s="2" t="s">
        <v>38</v>
      </c>
      <c r="G66" s="3">
        <v>3702144</v>
      </c>
      <c r="H66" s="3">
        <v>2865533</v>
      </c>
      <c r="I66" s="2" t="s">
        <v>9</v>
      </c>
      <c r="J66" s="3">
        <f t="shared" si="0"/>
        <v>238794.41666666666</v>
      </c>
    </row>
    <row r="67" spans="1:10" x14ac:dyDescent="0.35">
      <c r="A67" s="2" t="s">
        <v>9</v>
      </c>
      <c r="B67" s="2" t="s">
        <v>17</v>
      </c>
      <c r="C67" s="2" t="s">
        <v>19</v>
      </c>
      <c r="D67" s="2" t="s">
        <v>24</v>
      </c>
      <c r="E67" s="2" t="s">
        <v>31</v>
      </c>
      <c r="F67" s="2" t="s">
        <v>37</v>
      </c>
      <c r="G67" s="3">
        <v>1094198</v>
      </c>
      <c r="H67" s="3">
        <v>768793</v>
      </c>
      <c r="I67" s="2" t="s">
        <v>9</v>
      </c>
      <c r="J67" s="3">
        <f t="shared" ref="J67:J130" si="1">H67/12</f>
        <v>64066.083333333336</v>
      </c>
    </row>
    <row r="68" spans="1:10" x14ac:dyDescent="0.35">
      <c r="A68" s="2" t="s">
        <v>11</v>
      </c>
      <c r="B68" s="2" t="s">
        <v>16</v>
      </c>
      <c r="C68" s="2" t="s">
        <v>19</v>
      </c>
      <c r="D68" s="2" t="s">
        <v>26</v>
      </c>
      <c r="E68" s="2" t="s">
        <v>34</v>
      </c>
      <c r="F68" s="2" t="s">
        <v>36</v>
      </c>
      <c r="G68" s="3">
        <v>3819466</v>
      </c>
      <c r="H68" s="3">
        <v>3063417</v>
      </c>
      <c r="I68" s="2" t="s">
        <v>11</v>
      </c>
      <c r="J68" s="3">
        <f t="shared" si="1"/>
        <v>255284.75</v>
      </c>
    </row>
    <row r="69" spans="1:10" x14ac:dyDescent="0.35">
      <c r="A69" s="2" t="s">
        <v>14</v>
      </c>
      <c r="B69" s="2" t="s">
        <v>16</v>
      </c>
      <c r="C69" s="2" t="s">
        <v>18</v>
      </c>
      <c r="D69" s="2" t="s">
        <v>22</v>
      </c>
      <c r="E69" s="2" t="s">
        <v>31</v>
      </c>
      <c r="F69" s="2" t="s">
        <v>36</v>
      </c>
      <c r="G69" s="3">
        <v>5101608</v>
      </c>
      <c r="H69" s="3">
        <v>3736514</v>
      </c>
      <c r="I69" s="2" t="s">
        <v>40</v>
      </c>
      <c r="J69" s="3">
        <f t="shared" si="1"/>
        <v>311376.16666666669</v>
      </c>
    </row>
    <row r="70" spans="1:10" x14ac:dyDescent="0.35">
      <c r="A70" s="2" t="s">
        <v>11</v>
      </c>
      <c r="B70" s="2" t="s">
        <v>16</v>
      </c>
      <c r="C70" s="2" t="s">
        <v>18</v>
      </c>
      <c r="D70" s="2" t="s">
        <v>21</v>
      </c>
      <c r="E70" s="2" t="s">
        <v>35</v>
      </c>
      <c r="F70" s="2" t="s">
        <v>36</v>
      </c>
      <c r="G70" s="3">
        <v>2973633</v>
      </c>
      <c r="H70" s="3">
        <v>2095864</v>
      </c>
      <c r="I70" s="2" t="s">
        <v>11</v>
      </c>
      <c r="J70" s="3">
        <f t="shared" si="1"/>
        <v>174655.33333333334</v>
      </c>
    </row>
    <row r="71" spans="1:10" x14ac:dyDescent="0.35">
      <c r="A71" s="2" t="s">
        <v>14</v>
      </c>
      <c r="B71" s="2" t="s">
        <v>15</v>
      </c>
      <c r="C71" s="2" t="s">
        <v>19</v>
      </c>
      <c r="D71" s="2" t="s">
        <v>22</v>
      </c>
      <c r="E71" s="2" t="s">
        <v>30</v>
      </c>
      <c r="F71" s="2" t="s">
        <v>37</v>
      </c>
      <c r="G71" s="3">
        <v>1045221</v>
      </c>
      <c r="H71" s="3">
        <v>809266</v>
      </c>
      <c r="I71" s="2" t="s">
        <v>40</v>
      </c>
      <c r="J71" s="3">
        <f t="shared" si="1"/>
        <v>67438.833333333328</v>
      </c>
    </row>
    <row r="72" spans="1:10" x14ac:dyDescent="0.35">
      <c r="A72" s="2" t="s">
        <v>10</v>
      </c>
      <c r="B72" s="2" t="s">
        <v>15</v>
      </c>
      <c r="C72" s="2" t="s">
        <v>19</v>
      </c>
      <c r="D72" s="2" t="s">
        <v>20</v>
      </c>
      <c r="E72" s="2" t="s">
        <v>32</v>
      </c>
      <c r="F72" s="2" t="s">
        <v>37</v>
      </c>
      <c r="G72" s="3">
        <v>932361</v>
      </c>
      <c r="H72" s="3">
        <v>743765</v>
      </c>
      <c r="I72" s="2" t="s">
        <v>40</v>
      </c>
      <c r="J72" s="3">
        <f t="shared" si="1"/>
        <v>61980.416666666664</v>
      </c>
    </row>
    <row r="73" spans="1:10" x14ac:dyDescent="0.35">
      <c r="A73" s="2" t="s">
        <v>12</v>
      </c>
      <c r="B73" s="2" t="s">
        <v>16</v>
      </c>
      <c r="C73" s="2" t="s">
        <v>19</v>
      </c>
      <c r="D73" s="2" t="s">
        <v>26</v>
      </c>
      <c r="E73" s="2" t="s">
        <v>33</v>
      </c>
      <c r="F73" s="2" t="s">
        <v>36</v>
      </c>
      <c r="G73" s="3">
        <v>5232651</v>
      </c>
      <c r="H73" s="3">
        <v>3796876</v>
      </c>
      <c r="I73" s="2" t="s">
        <v>11</v>
      </c>
      <c r="J73" s="3">
        <f t="shared" si="1"/>
        <v>316406.33333333331</v>
      </c>
    </row>
    <row r="74" spans="1:10" x14ac:dyDescent="0.35">
      <c r="A74" s="2" t="s">
        <v>9</v>
      </c>
      <c r="B74" s="2" t="s">
        <v>16</v>
      </c>
      <c r="C74" s="2" t="s">
        <v>18</v>
      </c>
      <c r="D74" s="2" t="s">
        <v>20</v>
      </c>
      <c r="E74" s="2" t="s">
        <v>32</v>
      </c>
      <c r="F74" s="2" t="s">
        <v>36</v>
      </c>
      <c r="G74" s="3">
        <v>2933896</v>
      </c>
      <c r="H74" s="3">
        <v>2275548</v>
      </c>
      <c r="I74" s="2" t="s">
        <v>9</v>
      </c>
      <c r="J74" s="3">
        <f t="shared" si="1"/>
        <v>189629</v>
      </c>
    </row>
    <row r="75" spans="1:10" x14ac:dyDescent="0.35">
      <c r="A75" s="2" t="s">
        <v>10</v>
      </c>
      <c r="B75" s="2" t="s">
        <v>17</v>
      </c>
      <c r="C75" s="2" t="s">
        <v>18</v>
      </c>
      <c r="D75" s="2" t="s">
        <v>28</v>
      </c>
      <c r="E75" s="2" t="s">
        <v>35</v>
      </c>
      <c r="F75" s="2" t="s">
        <v>37</v>
      </c>
      <c r="G75" s="3">
        <v>2106536</v>
      </c>
      <c r="H75" s="3">
        <v>1616817</v>
      </c>
      <c r="I75" s="2" t="s">
        <v>40</v>
      </c>
      <c r="J75" s="3">
        <f t="shared" si="1"/>
        <v>134734.75</v>
      </c>
    </row>
    <row r="76" spans="1:10" x14ac:dyDescent="0.35">
      <c r="A76" s="2" t="s">
        <v>14</v>
      </c>
      <c r="B76" s="2" t="s">
        <v>17</v>
      </c>
      <c r="C76" s="2" t="s">
        <v>19</v>
      </c>
      <c r="D76" s="2" t="s">
        <v>25</v>
      </c>
      <c r="E76" s="2" t="s">
        <v>31</v>
      </c>
      <c r="F76" s="2" t="s">
        <v>37</v>
      </c>
      <c r="G76" s="3">
        <v>1656023</v>
      </c>
      <c r="H76" s="3">
        <v>1212056</v>
      </c>
      <c r="I76" s="2" t="s">
        <v>40</v>
      </c>
      <c r="J76" s="3">
        <f t="shared" si="1"/>
        <v>101004.66666666667</v>
      </c>
    </row>
    <row r="77" spans="1:10" x14ac:dyDescent="0.35">
      <c r="A77" s="2" t="s">
        <v>9</v>
      </c>
      <c r="B77" s="2" t="s">
        <v>16</v>
      </c>
      <c r="C77" s="2" t="s">
        <v>18</v>
      </c>
      <c r="D77" s="2" t="s">
        <v>20</v>
      </c>
      <c r="E77" s="2" t="s">
        <v>34</v>
      </c>
      <c r="F77" s="2" t="s">
        <v>39</v>
      </c>
      <c r="G77" s="3">
        <v>2252169</v>
      </c>
      <c r="H77" s="3">
        <v>1618035</v>
      </c>
      <c r="I77" s="2" t="s">
        <v>9</v>
      </c>
      <c r="J77" s="3">
        <f t="shared" si="1"/>
        <v>134836.25</v>
      </c>
    </row>
    <row r="78" spans="1:10" x14ac:dyDescent="0.35">
      <c r="A78" s="2" t="s">
        <v>11</v>
      </c>
      <c r="B78" s="2" t="s">
        <v>17</v>
      </c>
      <c r="C78" s="2" t="s">
        <v>19</v>
      </c>
      <c r="D78" s="2" t="s">
        <v>22</v>
      </c>
      <c r="E78" s="2" t="s">
        <v>31</v>
      </c>
      <c r="F78" s="2" t="s">
        <v>36</v>
      </c>
      <c r="G78" s="3">
        <v>2128695</v>
      </c>
      <c r="H78" s="3">
        <v>1578482</v>
      </c>
      <c r="I78" s="2" t="s">
        <v>11</v>
      </c>
      <c r="J78" s="3">
        <f t="shared" si="1"/>
        <v>131540.16666666666</v>
      </c>
    </row>
    <row r="79" spans="1:10" x14ac:dyDescent="0.35">
      <c r="A79" s="2" t="s">
        <v>9</v>
      </c>
      <c r="B79" s="2" t="s">
        <v>15</v>
      </c>
      <c r="C79" s="2" t="s">
        <v>18</v>
      </c>
      <c r="D79" s="2" t="s">
        <v>22</v>
      </c>
      <c r="E79" s="2" t="s">
        <v>29</v>
      </c>
      <c r="F79" s="2" t="s">
        <v>36</v>
      </c>
      <c r="G79" s="3">
        <v>540662</v>
      </c>
      <c r="H79" s="3">
        <v>410155</v>
      </c>
      <c r="I79" s="2" t="s">
        <v>9</v>
      </c>
      <c r="J79" s="3">
        <f t="shared" si="1"/>
        <v>34179.583333333336</v>
      </c>
    </row>
    <row r="80" spans="1:10" x14ac:dyDescent="0.35">
      <c r="A80" s="2" t="s">
        <v>9</v>
      </c>
      <c r="B80" s="2" t="s">
        <v>17</v>
      </c>
      <c r="C80" s="2" t="s">
        <v>18</v>
      </c>
      <c r="D80" s="2" t="s">
        <v>23</v>
      </c>
      <c r="E80" s="2" t="s">
        <v>31</v>
      </c>
      <c r="F80" s="2" t="s">
        <v>38</v>
      </c>
      <c r="G80" s="3">
        <v>1144949</v>
      </c>
      <c r="H80" s="3">
        <v>878878</v>
      </c>
      <c r="I80" s="2" t="s">
        <v>9</v>
      </c>
      <c r="J80" s="3">
        <f t="shared" si="1"/>
        <v>73239.833333333328</v>
      </c>
    </row>
    <row r="81" spans="1:10" x14ac:dyDescent="0.35">
      <c r="A81" s="2" t="s">
        <v>13</v>
      </c>
      <c r="B81" s="2" t="s">
        <v>16</v>
      </c>
      <c r="C81" s="2" t="s">
        <v>18</v>
      </c>
      <c r="D81" s="2" t="s">
        <v>22</v>
      </c>
      <c r="E81" s="2" t="s">
        <v>32</v>
      </c>
      <c r="F81" s="2" t="s">
        <v>36</v>
      </c>
      <c r="G81" s="3">
        <v>3735982</v>
      </c>
      <c r="H81" s="3">
        <v>2813353</v>
      </c>
      <c r="I81" s="2" t="s">
        <v>9</v>
      </c>
      <c r="J81" s="3">
        <f t="shared" si="1"/>
        <v>234446.08333333334</v>
      </c>
    </row>
    <row r="82" spans="1:10" x14ac:dyDescent="0.35">
      <c r="A82" s="2" t="s">
        <v>11</v>
      </c>
      <c r="B82" s="2" t="s">
        <v>16</v>
      </c>
      <c r="C82" s="2" t="s">
        <v>18</v>
      </c>
      <c r="D82" s="2" t="s">
        <v>24</v>
      </c>
      <c r="E82" s="2" t="s">
        <v>32</v>
      </c>
      <c r="F82" s="2" t="s">
        <v>37</v>
      </c>
      <c r="G82" s="3">
        <v>4100174</v>
      </c>
      <c r="H82" s="3">
        <v>3113083</v>
      </c>
      <c r="I82" s="2" t="s">
        <v>11</v>
      </c>
      <c r="J82" s="3">
        <f t="shared" si="1"/>
        <v>259423.58333333334</v>
      </c>
    </row>
    <row r="83" spans="1:10" x14ac:dyDescent="0.35">
      <c r="A83" s="2" t="s">
        <v>10</v>
      </c>
      <c r="B83" s="2" t="s">
        <v>15</v>
      </c>
      <c r="C83" s="2" t="s">
        <v>18</v>
      </c>
      <c r="D83" s="2" t="s">
        <v>25</v>
      </c>
      <c r="E83" s="2" t="s">
        <v>35</v>
      </c>
      <c r="F83" s="2" t="s">
        <v>39</v>
      </c>
      <c r="G83" s="3">
        <v>1121566</v>
      </c>
      <c r="H83" s="3">
        <v>860420</v>
      </c>
      <c r="I83" s="2" t="s">
        <v>40</v>
      </c>
      <c r="J83" s="3">
        <f t="shared" si="1"/>
        <v>71701.666666666672</v>
      </c>
    </row>
    <row r="84" spans="1:10" x14ac:dyDescent="0.35">
      <c r="A84" s="2" t="s">
        <v>9</v>
      </c>
      <c r="B84" s="2" t="s">
        <v>17</v>
      </c>
      <c r="C84" s="2" t="s">
        <v>18</v>
      </c>
      <c r="D84" s="2" t="s">
        <v>23</v>
      </c>
      <c r="E84" s="2" t="s">
        <v>29</v>
      </c>
      <c r="F84" s="2" t="s">
        <v>36</v>
      </c>
      <c r="G84" s="3">
        <v>1204317</v>
      </c>
      <c r="H84" s="3">
        <v>894654</v>
      </c>
      <c r="I84" s="2" t="s">
        <v>9</v>
      </c>
      <c r="J84" s="3">
        <f t="shared" si="1"/>
        <v>74554.5</v>
      </c>
    </row>
    <row r="85" spans="1:10" x14ac:dyDescent="0.35">
      <c r="A85" s="2" t="s">
        <v>10</v>
      </c>
      <c r="B85" s="2" t="s">
        <v>16</v>
      </c>
      <c r="C85" s="2" t="s">
        <v>19</v>
      </c>
      <c r="D85" s="2" t="s">
        <v>24</v>
      </c>
      <c r="E85" s="2" t="s">
        <v>30</v>
      </c>
      <c r="F85" s="2" t="s">
        <v>39</v>
      </c>
      <c r="G85" s="3">
        <v>4397016</v>
      </c>
      <c r="H85" s="3">
        <v>3169890</v>
      </c>
      <c r="I85" s="2" t="s">
        <v>40</v>
      </c>
      <c r="J85" s="3">
        <f t="shared" si="1"/>
        <v>264157.5</v>
      </c>
    </row>
    <row r="86" spans="1:10" x14ac:dyDescent="0.35">
      <c r="A86" s="2" t="s">
        <v>11</v>
      </c>
      <c r="B86" s="2" t="s">
        <v>17</v>
      </c>
      <c r="C86" s="2" t="s">
        <v>18</v>
      </c>
      <c r="D86" s="2" t="s">
        <v>25</v>
      </c>
      <c r="E86" s="2" t="s">
        <v>33</v>
      </c>
      <c r="F86" s="2" t="s">
        <v>36</v>
      </c>
      <c r="G86" s="3">
        <v>2235216</v>
      </c>
      <c r="H86" s="3">
        <v>1766348</v>
      </c>
      <c r="I86" s="2" t="s">
        <v>11</v>
      </c>
      <c r="J86" s="3">
        <f t="shared" si="1"/>
        <v>147195.66666666666</v>
      </c>
    </row>
    <row r="87" spans="1:10" x14ac:dyDescent="0.35">
      <c r="A87" s="2" t="s">
        <v>10</v>
      </c>
      <c r="B87" s="2" t="s">
        <v>16</v>
      </c>
      <c r="C87" s="2" t="s">
        <v>18</v>
      </c>
      <c r="D87" s="2" t="s">
        <v>20</v>
      </c>
      <c r="E87" s="2" t="s">
        <v>33</v>
      </c>
      <c r="F87" s="2" t="s">
        <v>37</v>
      </c>
      <c r="G87" s="3">
        <v>5143658</v>
      </c>
      <c r="H87" s="3">
        <v>3718893</v>
      </c>
      <c r="I87" s="2" t="s">
        <v>40</v>
      </c>
      <c r="J87" s="3">
        <f t="shared" si="1"/>
        <v>309907.75</v>
      </c>
    </row>
    <row r="88" spans="1:10" x14ac:dyDescent="0.35">
      <c r="A88" s="2" t="s">
        <v>9</v>
      </c>
      <c r="B88" s="2" t="s">
        <v>16</v>
      </c>
      <c r="C88" s="2" t="s">
        <v>18</v>
      </c>
      <c r="D88" s="2" t="s">
        <v>21</v>
      </c>
      <c r="E88" s="2" t="s">
        <v>30</v>
      </c>
      <c r="F88" s="2" t="s">
        <v>37</v>
      </c>
      <c r="G88" s="3">
        <v>3000253</v>
      </c>
      <c r="H88" s="3">
        <v>2259741</v>
      </c>
      <c r="I88" s="2" t="s">
        <v>9</v>
      </c>
      <c r="J88" s="3">
        <f t="shared" si="1"/>
        <v>188311.75</v>
      </c>
    </row>
    <row r="89" spans="1:10" x14ac:dyDescent="0.35">
      <c r="A89" s="2" t="s">
        <v>11</v>
      </c>
      <c r="B89" s="2" t="s">
        <v>15</v>
      </c>
      <c r="C89" s="2" t="s">
        <v>19</v>
      </c>
      <c r="D89" s="2" t="s">
        <v>20</v>
      </c>
      <c r="E89" s="2" t="s">
        <v>30</v>
      </c>
      <c r="F89" s="2" t="s">
        <v>38</v>
      </c>
      <c r="G89" s="3">
        <v>555826</v>
      </c>
      <c r="H89" s="3">
        <v>421281</v>
      </c>
      <c r="I89" s="2" t="s">
        <v>11</v>
      </c>
      <c r="J89" s="3">
        <f t="shared" si="1"/>
        <v>35106.75</v>
      </c>
    </row>
    <row r="90" spans="1:10" x14ac:dyDescent="0.35">
      <c r="A90" s="2" t="s">
        <v>12</v>
      </c>
      <c r="B90" s="2" t="s">
        <v>17</v>
      </c>
      <c r="C90" s="2" t="s">
        <v>18</v>
      </c>
      <c r="D90" s="2" t="s">
        <v>21</v>
      </c>
      <c r="E90" s="2" t="s">
        <v>30</v>
      </c>
      <c r="F90" s="2" t="s">
        <v>38</v>
      </c>
      <c r="G90" s="3">
        <v>2064337</v>
      </c>
      <c r="H90" s="3">
        <v>1689960</v>
      </c>
      <c r="I90" s="2" t="s">
        <v>11</v>
      </c>
      <c r="J90" s="3">
        <f t="shared" si="1"/>
        <v>140830</v>
      </c>
    </row>
    <row r="91" spans="1:10" x14ac:dyDescent="0.35">
      <c r="A91" s="2" t="s">
        <v>14</v>
      </c>
      <c r="B91" s="2" t="s">
        <v>16</v>
      </c>
      <c r="C91" s="2" t="s">
        <v>19</v>
      </c>
      <c r="D91" s="2" t="s">
        <v>26</v>
      </c>
      <c r="E91" s="2" t="s">
        <v>31</v>
      </c>
      <c r="F91" s="2" t="s">
        <v>38</v>
      </c>
      <c r="G91" s="3">
        <v>6898771</v>
      </c>
      <c r="H91" s="3">
        <v>5449053</v>
      </c>
      <c r="I91" s="2" t="s">
        <v>40</v>
      </c>
      <c r="J91" s="3">
        <f t="shared" si="1"/>
        <v>454087.75</v>
      </c>
    </row>
    <row r="92" spans="1:10" x14ac:dyDescent="0.35">
      <c r="A92" s="2" t="s">
        <v>9</v>
      </c>
      <c r="B92" s="2" t="s">
        <v>16</v>
      </c>
      <c r="C92" s="2" t="s">
        <v>18</v>
      </c>
      <c r="D92" s="2" t="s">
        <v>21</v>
      </c>
      <c r="E92" s="2" t="s">
        <v>33</v>
      </c>
      <c r="F92" s="2" t="s">
        <v>37</v>
      </c>
      <c r="G92" s="3">
        <v>2298730</v>
      </c>
      <c r="H92" s="3">
        <v>1846804</v>
      </c>
      <c r="I92" s="2" t="s">
        <v>9</v>
      </c>
      <c r="J92" s="3">
        <f t="shared" si="1"/>
        <v>153900.33333333334</v>
      </c>
    </row>
    <row r="93" spans="1:10" x14ac:dyDescent="0.35">
      <c r="A93" s="2" t="s">
        <v>13</v>
      </c>
      <c r="B93" s="2" t="s">
        <v>16</v>
      </c>
      <c r="C93" s="2" t="s">
        <v>18</v>
      </c>
      <c r="D93" s="2" t="s">
        <v>26</v>
      </c>
      <c r="E93" s="2" t="s">
        <v>30</v>
      </c>
      <c r="F93" s="2" t="s">
        <v>39</v>
      </c>
      <c r="G93" s="3">
        <v>4031631</v>
      </c>
      <c r="H93" s="3">
        <v>2997454</v>
      </c>
      <c r="I93" s="2" t="s">
        <v>9</v>
      </c>
      <c r="J93" s="3">
        <f t="shared" si="1"/>
        <v>249787.83333333334</v>
      </c>
    </row>
    <row r="94" spans="1:10" x14ac:dyDescent="0.35">
      <c r="A94" s="2" t="s">
        <v>10</v>
      </c>
      <c r="B94" s="2" t="s">
        <v>17</v>
      </c>
      <c r="C94" s="2" t="s">
        <v>18</v>
      </c>
      <c r="D94" s="2" t="s">
        <v>24</v>
      </c>
      <c r="E94" s="2" t="s">
        <v>31</v>
      </c>
      <c r="F94" s="2" t="s">
        <v>39</v>
      </c>
      <c r="G94" s="3">
        <v>2983233</v>
      </c>
      <c r="H94" s="3">
        <v>2440983</v>
      </c>
      <c r="I94" s="2" t="s">
        <v>40</v>
      </c>
      <c r="J94" s="3">
        <f t="shared" si="1"/>
        <v>203415.25</v>
      </c>
    </row>
    <row r="95" spans="1:10" x14ac:dyDescent="0.35">
      <c r="A95" s="2" t="s">
        <v>10</v>
      </c>
      <c r="B95" s="2" t="s">
        <v>15</v>
      </c>
      <c r="C95" s="2" t="s">
        <v>19</v>
      </c>
      <c r="D95" s="2" t="s">
        <v>25</v>
      </c>
      <c r="E95" s="2" t="s">
        <v>30</v>
      </c>
      <c r="F95" s="2" t="s">
        <v>39</v>
      </c>
      <c r="G95" s="3">
        <v>723648</v>
      </c>
      <c r="H95" s="3">
        <v>509613</v>
      </c>
      <c r="I95" s="2" t="s">
        <v>40</v>
      </c>
      <c r="J95" s="3">
        <f t="shared" si="1"/>
        <v>42467.75</v>
      </c>
    </row>
    <row r="96" spans="1:10" x14ac:dyDescent="0.35">
      <c r="A96" s="2" t="s">
        <v>12</v>
      </c>
      <c r="B96" s="2" t="s">
        <v>17</v>
      </c>
      <c r="C96" s="2" t="s">
        <v>18</v>
      </c>
      <c r="D96" s="2" t="s">
        <v>25</v>
      </c>
      <c r="E96" s="2" t="s">
        <v>33</v>
      </c>
      <c r="F96" s="2" t="s">
        <v>37</v>
      </c>
      <c r="G96" s="3">
        <v>1938305</v>
      </c>
      <c r="H96" s="3">
        <v>1521300</v>
      </c>
      <c r="I96" s="2" t="s">
        <v>11</v>
      </c>
      <c r="J96" s="3">
        <f t="shared" si="1"/>
        <v>126775</v>
      </c>
    </row>
    <row r="97" spans="1:10" x14ac:dyDescent="0.35">
      <c r="A97" s="2" t="s">
        <v>10</v>
      </c>
      <c r="B97" s="2" t="s">
        <v>16</v>
      </c>
      <c r="C97" s="2" t="s">
        <v>18</v>
      </c>
      <c r="D97" s="2" t="s">
        <v>20</v>
      </c>
      <c r="E97" s="2" t="s">
        <v>32</v>
      </c>
      <c r="F97" s="2" t="s">
        <v>36</v>
      </c>
      <c r="G97" s="3">
        <v>6121967</v>
      </c>
      <c r="H97" s="3">
        <v>4693334</v>
      </c>
      <c r="I97" s="2" t="s">
        <v>40</v>
      </c>
      <c r="J97" s="3">
        <f t="shared" si="1"/>
        <v>391111.16666666669</v>
      </c>
    </row>
    <row r="98" spans="1:10" x14ac:dyDescent="0.35">
      <c r="A98" s="2" t="s">
        <v>10</v>
      </c>
      <c r="B98" s="2" t="s">
        <v>16</v>
      </c>
      <c r="C98" s="2" t="s">
        <v>18</v>
      </c>
      <c r="D98" s="2" t="s">
        <v>20</v>
      </c>
      <c r="E98" s="2" t="s">
        <v>29</v>
      </c>
      <c r="F98" s="2" t="s">
        <v>36</v>
      </c>
      <c r="G98" s="3">
        <v>4033785</v>
      </c>
      <c r="H98" s="3">
        <v>2833195</v>
      </c>
      <c r="I98" s="2" t="s">
        <v>40</v>
      </c>
      <c r="J98" s="3">
        <f t="shared" si="1"/>
        <v>236099.58333333334</v>
      </c>
    </row>
    <row r="99" spans="1:10" x14ac:dyDescent="0.35">
      <c r="A99" s="2" t="s">
        <v>11</v>
      </c>
      <c r="B99" s="2" t="s">
        <v>17</v>
      </c>
      <c r="C99" s="2" t="s">
        <v>18</v>
      </c>
      <c r="D99" s="2" t="s">
        <v>26</v>
      </c>
      <c r="E99" s="2" t="s">
        <v>32</v>
      </c>
      <c r="F99" s="2" t="s">
        <v>36</v>
      </c>
      <c r="G99" s="3">
        <v>2301127</v>
      </c>
      <c r="H99" s="3">
        <v>1720107</v>
      </c>
      <c r="I99" s="2" t="s">
        <v>11</v>
      </c>
      <c r="J99" s="3">
        <f t="shared" si="1"/>
        <v>143342.25</v>
      </c>
    </row>
    <row r="100" spans="1:10" x14ac:dyDescent="0.35">
      <c r="A100" s="2" t="s">
        <v>12</v>
      </c>
      <c r="B100" s="2" t="s">
        <v>17</v>
      </c>
      <c r="C100" s="2" t="s">
        <v>19</v>
      </c>
      <c r="D100" s="2" t="s">
        <v>20</v>
      </c>
      <c r="E100" s="2" t="s">
        <v>30</v>
      </c>
      <c r="F100" s="2" t="s">
        <v>36</v>
      </c>
      <c r="G100" s="3">
        <v>2258871</v>
      </c>
      <c r="H100" s="3">
        <v>1590384</v>
      </c>
      <c r="I100" s="2" t="s">
        <v>11</v>
      </c>
      <c r="J100" s="3">
        <f t="shared" si="1"/>
        <v>132532</v>
      </c>
    </row>
    <row r="101" spans="1:10" x14ac:dyDescent="0.35">
      <c r="A101" s="2" t="s">
        <v>13</v>
      </c>
      <c r="B101" s="2" t="s">
        <v>17</v>
      </c>
      <c r="C101" s="2" t="s">
        <v>19</v>
      </c>
      <c r="D101" s="2" t="s">
        <v>22</v>
      </c>
      <c r="E101" s="2" t="s">
        <v>33</v>
      </c>
      <c r="F101" s="2" t="s">
        <v>39</v>
      </c>
      <c r="G101" s="3">
        <v>1794678</v>
      </c>
      <c r="H101" s="3">
        <v>1439305</v>
      </c>
      <c r="I101" s="2" t="s">
        <v>9</v>
      </c>
      <c r="J101" s="3">
        <f t="shared" si="1"/>
        <v>119942.08333333333</v>
      </c>
    </row>
    <row r="102" spans="1:10" x14ac:dyDescent="0.35">
      <c r="A102" s="2" t="s">
        <v>11</v>
      </c>
      <c r="B102" s="2" t="s">
        <v>17</v>
      </c>
      <c r="C102" s="2" t="s">
        <v>19</v>
      </c>
      <c r="D102" s="2" t="s">
        <v>24</v>
      </c>
      <c r="E102" s="2" t="s">
        <v>29</v>
      </c>
      <c r="F102" s="2" t="s">
        <v>36</v>
      </c>
      <c r="G102" s="3">
        <v>1363270</v>
      </c>
      <c r="H102" s="3">
        <v>1048896</v>
      </c>
      <c r="I102" s="2" t="s">
        <v>11</v>
      </c>
      <c r="J102" s="3">
        <f t="shared" si="1"/>
        <v>87408</v>
      </c>
    </row>
    <row r="103" spans="1:10" x14ac:dyDescent="0.35">
      <c r="A103" s="2" t="s">
        <v>12</v>
      </c>
      <c r="B103" s="2" t="s">
        <v>17</v>
      </c>
      <c r="C103" s="2" t="s">
        <v>19</v>
      </c>
      <c r="D103" s="2" t="s">
        <v>25</v>
      </c>
      <c r="E103" s="2" t="s">
        <v>31</v>
      </c>
      <c r="F103" s="2" t="s">
        <v>36</v>
      </c>
      <c r="G103" s="3">
        <v>1899385</v>
      </c>
      <c r="H103" s="3">
        <v>1515889</v>
      </c>
      <c r="I103" s="2" t="s">
        <v>11</v>
      </c>
      <c r="J103" s="3">
        <f t="shared" si="1"/>
        <v>126324.08333333333</v>
      </c>
    </row>
    <row r="104" spans="1:10" x14ac:dyDescent="0.35">
      <c r="A104" s="2" t="s">
        <v>12</v>
      </c>
      <c r="B104" s="2" t="s">
        <v>15</v>
      </c>
      <c r="C104" s="2" t="s">
        <v>18</v>
      </c>
      <c r="D104" s="2" t="s">
        <v>27</v>
      </c>
      <c r="E104" s="2" t="s">
        <v>35</v>
      </c>
      <c r="F104" s="2" t="s">
        <v>36</v>
      </c>
      <c r="G104" s="3">
        <v>1032155</v>
      </c>
      <c r="H104" s="3">
        <v>815105</v>
      </c>
      <c r="I104" s="2" t="s">
        <v>11</v>
      </c>
      <c r="J104" s="3">
        <f t="shared" si="1"/>
        <v>67925.416666666672</v>
      </c>
    </row>
    <row r="105" spans="1:10" x14ac:dyDescent="0.35">
      <c r="A105" s="2" t="s">
        <v>9</v>
      </c>
      <c r="B105" s="2" t="s">
        <v>15</v>
      </c>
      <c r="C105" s="2" t="s">
        <v>19</v>
      </c>
      <c r="D105" s="2" t="s">
        <v>22</v>
      </c>
      <c r="E105" s="2" t="s">
        <v>29</v>
      </c>
      <c r="F105" s="2" t="s">
        <v>38</v>
      </c>
      <c r="G105" s="3">
        <v>781664</v>
      </c>
      <c r="H105" s="3">
        <v>569566</v>
      </c>
      <c r="I105" s="2" t="s">
        <v>9</v>
      </c>
      <c r="J105" s="3">
        <f t="shared" si="1"/>
        <v>47463.833333333336</v>
      </c>
    </row>
    <row r="106" spans="1:10" x14ac:dyDescent="0.35">
      <c r="A106" s="2" t="s">
        <v>10</v>
      </c>
      <c r="B106" s="2" t="s">
        <v>15</v>
      </c>
      <c r="C106" s="2" t="s">
        <v>19</v>
      </c>
      <c r="D106" s="2" t="s">
        <v>22</v>
      </c>
      <c r="E106" s="2" t="s">
        <v>32</v>
      </c>
      <c r="F106" s="2" t="s">
        <v>37</v>
      </c>
      <c r="G106" s="3">
        <v>1310169</v>
      </c>
      <c r="H106" s="3">
        <v>1008980</v>
      </c>
      <c r="I106" s="2" t="s">
        <v>40</v>
      </c>
      <c r="J106" s="3">
        <f t="shared" si="1"/>
        <v>84081.666666666672</v>
      </c>
    </row>
    <row r="107" spans="1:10" x14ac:dyDescent="0.35">
      <c r="A107" s="2" t="s">
        <v>12</v>
      </c>
      <c r="B107" s="2" t="s">
        <v>15</v>
      </c>
      <c r="C107" s="2" t="s">
        <v>18</v>
      </c>
      <c r="D107" s="2" t="s">
        <v>22</v>
      </c>
      <c r="E107" s="2" t="s">
        <v>34</v>
      </c>
      <c r="F107" s="2" t="s">
        <v>39</v>
      </c>
      <c r="G107" s="3">
        <v>712817</v>
      </c>
      <c r="H107" s="3">
        <v>553728</v>
      </c>
      <c r="I107" s="2" t="s">
        <v>11</v>
      </c>
      <c r="J107" s="3">
        <f t="shared" si="1"/>
        <v>46144</v>
      </c>
    </row>
    <row r="108" spans="1:10" x14ac:dyDescent="0.35">
      <c r="A108" s="2" t="s">
        <v>11</v>
      </c>
      <c r="B108" s="2" t="s">
        <v>17</v>
      </c>
      <c r="C108" s="2" t="s">
        <v>18</v>
      </c>
      <c r="D108" s="2" t="s">
        <v>23</v>
      </c>
      <c r="E108" s="2" t="s">
        <v>30</v>
      </c>
      <c r="F108" s="2" t="s">
        <v>38</v>
      </c>
      <c r="G108" s="3">
        <v>2468448</v>
      </c>
      <c r="H108" s="3">
        <v>1946908</v>
      </c>
      <c r="I108" s="2" t="s">
        <v>11</v>
      </c>
      <c r="J108" s="3">
        <f t="shared" si="1"/>
        <v>162242.33333333334</v>
      </c>
    </row>
    <row r="109" spans="1:10" x14ac:dyDescent="0.35">
      <c r="A109" s="2" t="s">
        <v>11</v>
      </c>
      <c r="B109" s="2" t="s">
        <v>16</v>
      </c>
      <c r="C109" s="2" t="s">
        <v>18</v>
      </c>
      <c r="D109" s="2" t="s">
        <v>21</v>
      </c>
      <c r="E109" s="2" t="s">
        <v>30</v>
      </c>
      <c r="F109" s="2" t="s">
        <v>37</v>
      </c>
      <c r="G109" s="3">
        <v>3567908</v>
      </c>
      <c r="H109" s="3">
        <v>2662011</v>
      </c>
      <c r="I109" s="2" t="s">
        <v>11</v>
      </c>
      <c r="J109" s="3">
        <f t="shared" si="1"/>
        <v>221834.25</v>
      </c>
    </row>
    <row r="110" spans="1:10" x14ac:dyDescent="0.35">
      <c r="A110" s="2" t="s">
        <v>11</v>
      </c>
      <c r="B110" s="2" t="s">
        <v>16</v>
      </c>
      <c r="C110" s="2" t="s">
        <v>18</v>
      </c>
      <c r="D110" s="2" t="s">
        <v>21</v>
      </c>
      <c r="E110" s="2" t="s">
        <v>34</v>
      </c>
      <c r="F110" s="2" t="s">
        <v>36</v>
      </c>
      <c r="G110" s="3">
        <v>3948475</v>
      </c>
      <c r="H110" s="3">
        <v>3119930</v>
      </c>
      <c r="I110" s="2" t="s">
        <v>11</v>
      </c>
      <c r="J110" s="3">
        <f t="shared" si="1"/>
        <v>259994.16666666666</v>
      </c>
    </row>
    <row r="111" spans="1:10" x14ac:dyDescent="0.35">
      <c r="A111" s="2" t="s">
        <v>11</v>
      </c>
      <c r="B111" s="2" t="s">
        <v>17</v>
      </c>
      <c r="C111" s="2" t="s">
        <v>19</v>
      </c>
      <c r="D111" s="2" t="s">
        <v>21</v>
      </c>
      <c r="E111" s="2" t="s">
        <v>30</v>
      </c>
      <c r="F111" s="2" t="s">
        <v>38</v>
      </c>
      <c r="G111" s="3">
        <v>2255309</v>
      </c>
      <c r="H111" s="3">
        <v>1718620</v>
      </c>
      <c r="I111" s="2" t="s">
        <v>11</v>
      </c>
      <c r="J111" s="3">
        <f t="shared" si="1"/>
        <v>143218.33333333334</v>
      </c>
    </row>
    <row r="112" spans="1:10" x14ac:dyDescent="0.35">
      <c r="A112" s="2" t="s">
        <v>14</v>
      </c>
      <c r="B112" s="2" t="s">
        <v>16</v>
      </c>
      <c r="C112" s="2" t="s">
        <v>19</v>
      </c>
      <c r="D112" s="2" t="s">
        <v>22</v>
      </c>
      <c r="E112" s="2" t="s">
        <v>33</v>
      </c>
      <c r="F112" s="2" t="s">
        <v>38</v>
      </c>
      <c r="G112" s="3">
        <v>3291143</v>
      </c>
      <c r="H112" s="3">
        <v>2458704</v>
      </c>
      <c r="I112" s="2" t="s">
        <v>40</v>
      </c>
      <c r="J112" s="3">
        <f t="shared" si="1"/>
        <v>204892</v>
      </c>
    </row>
    <row r="113" spans="1:10" x14ac:dyDescent="0.35">
      <c r="A113" s="2" t="s">
        <v>12</v>
      </c>
      <c r="B113" s="2" t="s">
        <v>16</v>
      </c>
      <c r="C113" s="2" t="s">
        <v>19</v>
      </c>
      <c r="D113" s="2" t="s">
        <v>23</v>
      </c>
      <c r="E113" s="2" t="s">
        <v>30</v>
      </c>
      <c r="F113" s="2" t="s">
        <v>39</v>
      </c>
      <c r="G113" s="3">
        <v>5105227</v>
      </c>
      <c r="H113" s="3">
        <v>4046485</v>
      </c>
      <c r="I113" s="2" t="s">
        <v>11</v>
      </c>
      <c r="J113" s="3">
        <f t="shared" si="1"/>
        <v>337207.08333333331</v>
      </c>
    </row>
    <row r="114" spans="1:10" x14ac:dyDescent="0.35">
      <c r="A114" s="2" t="s">
        <v>13</v>
      </c>
      <c r="B114" s="2" t="s">
        <v>16</v>
      </c>
      <c r="C114" s="2" t="s">
        <v>19</v>
      </c>
      <c r="D114" s="2" t="s">
        <v>23</v>
      </c>
      <c r="E114" s="2" t="s">
        <v>34</v>
      </c>
      <c r="F114" s="2" t="s">
        <v>38</v>
      </c>
      <c r="G114" s="3">
        <v>4541141</v>
      </c>
      <c r="H114" s="3">
        <v>3534388</v>
      </c>
      <c r="I114" s="2" t="s">
        <v>9</v>
      </c>
      <c r="J114" s="3">
        <f t="shared" si="1"/>
        <v>294532.33333333331</v>
      </c>
    </row>
    <row r="115" spans="1:10" x14ac:dyDescent="0.35">
      <c r="A115" s="2" t="s">
        <v>14</v>
      </c>
      <c r="B115" s="2" t="s">
        <v>16</v>
      </c>
      <c r="C115" s="2" t="s">
        <v>18</v>
      </c>
      <c r="D115" s="2" t="s">
        <v>21</v>
      </c>
      <c r="E115" s="2" t="s">
        <v>32</v>
      </c>
      <c r="F115" s="2" t="s">
        <v>38</v>
      </c>
      <c r="G115" s="3">
        <v>6930830</v>
      </c>
      <c r="H115" s="3">
        <v>5476648</v>
      </c>
      <c r="I115" s="2" t="s">
        <v>40</v>
      </c>
      <c r="J115" s="3">
        <f t="shared" si="1"/>
        <v>456387.33333333331</v>
      </c>
    </row>
    <row r="116" spans="1:10" x14ac:dyDescent="0.35">
      <c r="A116" s="2" t="s">
        <v>11</v>
      </c>
      <c r="B116" s="2" t="s">
        <v>17</v>
      </c>
      <c r="C116" s="2" t="s">
        <v>19</v>
      </c>
      <c r="D116" s="2" t="s">
        <v>28</v>
      </c>
      <c r="E116" s="2" t="s">
        <v>31</v>
      </c>
      <c r="F116" s="2" t="s">
        <v>39</v>
      </c>
      <c r="G116" s="3">
        <v>1690355</v>
      </c>
      <c r="H116" s="3">
        <v>1265229</v>
      </c>
      <c r="I116" s="2" t="s">
        <v>11</v>
      </c>
      <c r="J116" s="3">
        <f t="shared" si="1"/>
        <v>105435.75</v>
      </c>
    </row>
    <row r="117" spans="1:10" x14ac:dyDescent="0.35">
      <c r="A117" s="2" t="s">
        <v>14</v>
      </c>
      <c r="B117" s="2" t="s">
        <v>15</v>
      </c>
      <c r="C117" s="2" t="s">
        <v>18</v>
      </c>
      <c r="D117" s="2" t="s">
        <v>23</v>
      </c>
      <c r="E117" s="2" t="s">
        <v>34</v>
      </c>
      <c r="F117" s="2" t="s">
        <v>39</v>
      </c>
      <c r="G117" s="3">
        <v>616454</v>
      </c>
      <c r="H117" s="3">
        <v>497142</v>
      </c>
      <c r="I117" s="2" t="s">
        <v>40</v>
      </c>
      <c r="J117" s="3">
        <f t="shared" si="1"/>
        <v>41428.5</v>
      </c>
    </row>
    <row r="118" spans="1:10" x14ac:dyDescent="0.35">
      <c r="A118" s="2" t="s">
        <v>13</v>
      </c>
      <c r="B118" s="2" t="s">
        <v>16</v>
      </c>
      <c r="C118" s="2" t="s">
        <v>19</v>
      </c>
      <c r="D118" s="2" t="s">
        <v>21</v>
      </c>
      <c r="E118" s="2" t="s">
        <v>35</v>
      </c>
      <c r="F118" s="2" t="s">
        <v>39</v>
      </c>
      <c r="G118" s="3">
        <v>4225244</v>
      </c>
      <c r="H118" s="3">
        <v>3315060</v>
      </c>
      <c r="I118" s="2" t="s">
        <v>9</v>
      </c>
      <c r="J118" s="3">
        <f t="shared" si="1"/>
        <v>276255</v>
      </c>
    </row>
    <row r="119" spans="1:10" x14ac:dyDescent="0.35">
      <c r="A119" s="2" t="s">
        <v>9</v>
      </c>
      <c r="B119" s="2" t="s">
        <v>15</v>
      </c>
      <c r="C119" s="2" t="s">
        <v>19</v>
      </c>
      <c r="D119" s="2" t="s">
        <v>21</v>
      </c>
      <c r="E119" s="2" t="s">
        <v>31</v>
      </c>
      <c r="F119" s="2" t="s">
        <v>39</v>
      </c>
      <c r="G119" s="3">
        <v>600245</v>
      </c>
      <c r="H119" s="3">
        <v>432131</v>
      </c>
      <c r="I119" s="2" t="s">
        <v>9</v>
      </c>
      <c r="J119" s="3">
        <f t="shared" si="1"/>
        <v>36010.916666666664</v>
      </c>
    </row>
    <row r="120" spans="1:10" x14ac:dyDescent="0.35">
      <c r="A120" s="2" t="s">
        <v>10</v>
      </c>
      <c r="B120" s="2" t="s">
        <v>15</v>
      </c>
      <c r="C120" s="2" t="s">
        <v>18</v>
      </c>
      <c r="D120" s="2" t="s">
        <v>26</v>
      </c>
      <c r="E120" s="2" t="s">
        <v>34</v>
      </c>
      <c r="F120" s="2" t="s">
        <v>39</v>
      </c>
      <c r="G120" s="3">
        <v>1343155</v>
      </c>
      <c r="H120" s="3">
        <v>953296</v>
      </c>
      <c r="I120" s="2" t="s">
        <v>40</v>
      </c>
      <c r="J120" s="3">
        <f t="shared" si="1"/>
        <v>79441.333333333328</v>
      </c>
    </row>
    <row r="121" spans="1:10" x14ac:dyDescent="0.35">
      <c r="A121" s="2" t="s">
        <v>12</v>
      </c>
      <c r="B121" s="2" t="s">
        <v>15</v>
      </c>
      <c r="C121" s="2" t="s">
        <v>19</v>
      </c>
      <c r="D121" s="2" t="s">
        <v>21</v>
      </c>
      <c r="E121" s="2" t="s">
        <v>29</v>
      </c>
      <c r="F121" s="2" t="s">
        <v>36</v>
      </c>
      <c r="G121" s="3">
        <v>1092904</v>
      </c>
      <c r="H121" s="3">
        <v>853900</v>
      </c>
      <c r="I121" s="2" t="s">
        <v>11</v>
      </c>
      <c r="J121" s="3">
        <f t="shared" si="1"/>
        <v>71158.333333333328</v>
      </c>
    </row>
    <row r="122" spans="1:10" x14ac:dyDescent="0.35">
      <c r="A122" s="2" t="s">
        <v>11</v>
      </c>
      <c r="B122" s="2" t="s">
        <v>17</v>
      </c>
      <c r="C122" s="2" t="s">
        <v>18</v>
      </c>
      <c r="D122" s="2" t="s">
        <v>26</v>
      </c>
      <c r="E122" s="2" t="s">
        <v>31</v>
      </c>
      <c r="F122" s="2" t="s">
        <v>36</v>
      </c>
      <c r="G122" s="3">
        <v>1604486</v>
      </c>
      <c r="H122" s="3">
        <v>1185319</v>
      </c>
      <c r="I122" s="2" t="s">
        <v>11</v>
      </c>
      <c r="J122" s="3">
        <f t="shared" si="1"/>
        <v>98776.583333333328</v>
      </c>
    </row>
    <row r="123" spans="1:10" x14ac:dyDescent="0.35">
      <c r="A123" s="2" t="s">
        <v>10</v>
      </c>
      <c r="B123" s="2" t="s">
        <v>15</v>
      </c>
      <c r="C123" s="2" t="s">
        <v>18</v>
      </c>
      <c r="D123" s="2" t="s">
        <v>20</v>
      </c>
      <c r="E123" s="2" t="s">
        <v>32</v>
      </c>
      <c r="F123" s="2" t="s">
        <v>36</v>
      </c>
      <c r="G123" s="3">
        <v>1544080</v>
      </c>
      <c r="H123" s="3">
        <v>1086462</v>
      </c>
      <c r="I123" s="2" t="s">
        <v>40</v>
      </c>
      <c r="J123" s="3">
        <f t="shared" si="1"/>
        <v>90538.5</v>
      </c>
    </row>
    <row r="124" spans="1:10" x14ac:dyDescent="0.35">
      <c r="A124" s="2" t="s">
        <v>12</v>
      </c>
      <c r="B124" s="2" t="s">
        <v>15</v>
      </c>
      <c r="C124" s="2" t="s">
        <v>18</v>
      </c>
      <c r="D124" s="2" t="s">
        <v>27</v>
      </c>
      <c r="E124" s="2" t="s">
        <v>33</v>
      </c>
      <c r="F124" s="2" t="s">
        <v>38</v>
      </c>
      <c r="G124" s="3">
        <v>567796</v>
      </c>
      <c r="H124" s="3">
        <v>420086</v>
      </c>
      <c r="I124" s="2" t="s">
        <v>11</v>
      </c>
      <c r="J124" s="3">
        <f t="shared" si="1"/>
        <v>35007.166666666664</v>
      </c>
    </row>
    <row r="125" spans="1:10" x14ac:dyDescent="0.35">
      <c r="A125" s="2" t="s">
        <v>12</v>
      </c>
      <c r="B125" s="2" t="s">
        <v>16</v>
      </c>
      <c r="C125" s="2" t="s">
        <v>19</v>
      </c>
      <c r="D125" s="2" t="s">
        <v>20</v>
      </c>
      <c r="E125" s="2" t="s">
        <v>33</v>
      </c>
      <c r="F125" s="2" t="s">
        <v>37</v>
      </c>
      <c r="G125" s="3">
        <v>2564792</v>
      </c>
      <c r="H125" s="3">
        <v>1992502</v>
      </c>
      <c r="I125" s="2" t="s">
        <v>11</v>
      </c>
      <c r="J125" s="3">
        <f t="shared" si="1"/>
        <v>166041.83333333334</v>
      </c>
    </row>
    <row r="126" spans="1:10" x14ac:dyDescent="0.35">
      <c r="A126" s="2" t="s">
        <v>10</v>
      </c>
      <c r="B126" s="2" t="s">
        <v>17</v>
      </c>
      <c r="C126" s="2" t="s">
        <v>19</v>
      </c>
      <c r="D126" s="2" t="s">
        <v>21</v>
      </c>
      <c r="E126" s="2" t="s">
        <v>31</v>
      </c>
      <c r="F126" s="2" t="s">
        <v>38</v>
      </c>
      <c r="G126" s="3">
        <v>2632474</v>
      </c>
      <c r="H126" s="3">
        <v>1978063</v>
      </c>
      <c r="I126" s="2" t="s">
        <v>40</v>
      </c>
      <c r="J126" s="3">
        <f t="shared" si="1"/>
        <v>164838.58333333334</v>
      </c>
    </row>
    <row r="127" spans="1:10" x14ac:dyDescent="0.35">
      <c r="A127" s="2" t="s">
        <v>10</v>
      </c>
      <c r="B127" s="2" t="s">
        <v>15</v>
      </c>
      <c r="C127" s="2" t="s">
        <v>18</v>
      </c>
      <c r="D127" s="2" t="s">
        <v>22</v>
      </c>
      <c r="E127" s="2" t="s">
        <v>32</v>
      </c>
      <c r="F127" s="2" t="s">
        <v>39</v>
      </c>
      <c r="G127" s="3">
        <v>1300371</v>
      </c>
      <c r="H127" s="3">
        <v>953464</v>
      </c>
      <c r="I127" s="2" t="s">
        <v>40</v>
      </c>
      <c r="J127" s="3">
        <f t="shared" si="1"/>
        <v>79455.333333333328</v>
      </c>
    </row>
    <row r="128" spans="1:10" x14ac:dyDescent="0.35">
      <c r="A128" s="2" t="s">
        <v>9</v>
      </c>
      <c r="B128" s="2" t="s">
        <v>16</v>
      </c>
      <c r="C128" s="2" t="s">
        <v>19</v>
      </c>
      <c r="D128" s="2" t="s">
        <v>21</v>
      </c>
      <c r="E128" s="2" t="s">
        <v>33</v>
      </c>
      <c r="F128" s="2" t="s">
        <v>38</v>
      </c>
      <c r="G128" s="3">
        <v>3088923</v>
      </c>
      <c r="H128" s="3">
        <v>2501894</v>
      </c>
      <c r="I128" s="2" t="s">
        <v>9</v>
      </c>
      <c r="J128" s="3">
        <f t="shared" si="1"/>
        <v>208491.16666666666</v>
      </c>
    </row>
    <row r="129" spans="1:10" x14ac:dyDescent="0.35">
      <c r="A129" s="2" t="s">
        <v>12</v>
      </c>
      <c r="B129" s="2" t="s">
        <v>17</v>
      </c>
      <c r="C129" s="2" t="s">
        <v>19</v>
      </c>
      <c r="D129" s="2" t="s">
        <v>27</v>
      </c>
      <c r="E129" s="2" t="s">
        <v>31</v>
      </c>
      <c r="F129" s="2" t="s">
        <v>39</v>
      </c>
      <c r="G129" s="3">
        <v>2301221</v>
      </c>
      <c r="H129" s="3">
        <v>1709547</v>
      </c>
      <c r="I129" s="2" t="s">
        <v>11</v>
      </c>
      <c r="J129" s="3">
        <f t="shared" si="1"/>
        <v>142462.25</v>
      </c>
    </row>
    <row r="130" spans="1:10" x14ac:dyDescent="0.35">
      <c r="A130" s="2" t="s">
        <v>13</v>
      </c>
      <c r="B130" s="2" t="s">
        <v>16</v>
      </c>
      <c r="C130" s="2" t="s">
        <v>18</v>
      </c>
      <c r="D130" s="2" t="s">
        <v>23</v>
      </c>
      <c r="E130" s="2" t="s">
        <v>30</v>
      </c>
      <c r="F130" s="2" t="s">
        <v>37</v>
      </c>
      <c r="G130" s="3">
        <v>4998838</v>
      </c>
      <c r="H130" s="3">
        <v>4011790</v>
      </c>
      <c r="I130" s="2" t="s">
        <v>9</v>
      </c>
      <c r="J130" s="3">
        <f t="shared" si="1"/>
        <v>334315.83333333331</v>
      </c>
    </row>
    <row r="131" spans="1:10" x14ac:dyDescent="0.35">
      <c r="A131" s="2" t="s">
        <v>9</v>
      </c>
      <c r="B131" s="2" t="s">
        <v>15</v>
      </c>
      <c r="C131" s="2" t="s">
        <v>18</v>
      </c>
      <c r="D131" s="2" t="s">
        <v>22</v>
      </c>
      <c r="E131" s="2" t="s">
        <v>30</v>
      </c>
      <c r="F131" s="2" t="s">
        <v>36</v>
      </c>
      <c r="G131" s="3">
        <v>774906</v>
      </c>
      <c r="H131" s="3">
        <v>566085</v>
      </c>
      <c r="I131" s="2" t="s">
        <v>9</v>
      </c>
      <c r="J131" s="3">
        <f t="shared" ref="J131:J194" si="2">H131/12</f>
        <v>47173.75</v>
      </c>
    </row>
    <row r="132" spans="1:10" x14ac:dyDescent="0.35">
      <c r="A132" s="2" t="s">
        <v>13</v>
      </c>
      <c r="B132" s="2" t="s">
        <v>15</v>
      </c>
      <c r="C132" s="2" t="s">
        <v>19</v>
      </c>
      <c r="D132" s="2" t="s">
        <v>24</v>
      </c>
      <c r="E132" s="2" t="s">
        <v>31</v>
      </c>
      <c r="F132" s="2" t="s">
        <v>36</v>
      </c>
      <c r="G132" s="3">
        <v>797276</v>
      </c>
      <c r="H132" s="3">
        <v>581923</v>
      </c>
      <c r="I132" s="2" t="s">
        <v>9</v>
      </c>
      <c r="J132" s="3">
        <f t="shared" si="2"/>
        <v>48493.583333333336</v>
      </c>
    </row>
    <row r="133" spans="1:10" x14ac:dyDescent="0.35">
      <c r="A133" s="2" t="s">
        <v>12</v>
      </c>
      <c r="B133" s="2" t="s">
        <v>15</v>
      </c>
      <c r="C133" s="2" t="s">
        <v>18</v>
      </c>
      <c r="D133" s="2" t="s">
        <v>20</v>
      </c>
      <c r="E133" s="2" t="s">
        <v>31</v>
      </c>
      <c r="F133" s="2" t="s">
        <v>37</v>
      </c>
      <c r="G133" s="3">
        <v>896855</v>
      </c>
      <c r="H133" s="3">
        <v>722430</v>
      </c>
      <c r="I133" s="2" t="s">
        <v>11</v>
      </c>
      <c r="J133" s="3">
        <f t="shared" si="2"/>
        <v>60202.5</v>
      </c>
    </row>
    <row r="134" spans="1:10" x14ac:dyDescent="0.35">
      <c r="A134" s="2" t="s">
        <v>12</v>
      </c>
      <c r="B134" s="2" t="s">
        <v>17</v>
      </c>
      <c r="C134" s="2" t="s">
        <v>18</v>
      </c>
      <c r="D134" s="2" t="s">
        <v>24</v>
      </c>
      <c r="E134" s="2" t="s">
        <v>35</v>
      </c>
      <c r="F134" s="2" t="s">
        <v>39</v>
      </c>
      <c r="G134" s="3">
        <v>1256137</v>
      </c>
      <c r="H134" s="3">
        <v>901973</v>
      </c>
      <c r="I134" s="2" t="s">
        <v>11</v>
      </c>
      <c r="J134" s="3">
        <f t="shared" si="2"/>
        <v>75164.416666666672</v>
      </c>
    </row>
    <row r="135" spans="1:10" x14ac:dyDescent="0.35">
      <c r="A135" s="2" t="s">
        <v>10</v>
      </c>
      <c r="B135" s="2" t="s">
        <v>16</v>
      </c>
      <c r="C135" s="2" t="s">
        <v>19</v>
      </c>
      <c r="D135" s="2" t="s">
        <v>21</v>
      </c>
      <c r="E135" s="2" t="s">
        <v>33</v>
      </c>
      <c r="F135" s="2" t="s">
        <v>38</v>
      </c>
      <c r="G135" s="3">
        <v>4500275</v>
      </c>
      <c r="H135" s="3">
        <v>3487305</v>
      </c>
      <c r="I135" s="2" t="s">
        <v>40</v>
      </c>
      <c r="J135" s="3">
        <f t="shared" si="2"/>
        <v>290608.75</v>
      </c>
    </row>
    <row r="136" spans="1:10" x14ac:dyDescent="0.35">
      <c r="A136" s="2" t="s">
        <v>12</v>
      </c>
      <c r="B136" s="2" t="s">
        <v>15</v>
      </c>
      <c r="C136" s="2" t="s">
        <v>19</v>
      </c>
      <c r="D136" s="2" t="s">
        <v>26</v>
      </c>
      <c r="E136" s="2" t="s">
        <v>33</v>
      </c>
      <c r="F136" s="2" t="s">
        <v>38</v>
      </c>
      <c r="G136" s="3">
        <v>999517</v>
      </c>
      <c r="H136" s="3">
        <v>748123</v>
      </c>
      <c r="I136" s="2" t="s">
        <v>11</v>
      </c>
      <c r="J136" s="3">
        <f t="shared" si="2"/>
        <v>62343.583333333336</v>
      </c>
    </row>
    <row r="137" spans="1:10" x14ac:dyDescent="0.35">
      <c r="A137" s="2" t="s">
        <v>13</v>
      </c>
      <c r="B137" s="2" t="s">
        <v>16</v>
      </c>
      <c r="C137" s="2" t="s">
        <v>18</v>
      </c>
      <c r="D137" s="2" t="s">
        <v>20</v>
      </c>
      <c r="E137" s="2" t="s">
        <v>33</v>
      </c>
      <c r="F137" s="2" t="s">
        <v>37</v>
      </c>
      <c r="G137" s="3">
        <v>4488372</v>
      </c>
      <c r="H137" s="3">
        <v>3383787</v>
      </c>
      <c r="I137" s="2" t="s">
        <v>9</v>
      </c>
      <c r="J137" s="3">
        <f t="shared" si="2"/>
        <v>281982.25</v>
      </c>
    </row>
    <row r="138" spans="1:10" x14ac:dyDescent="0.35">
      <c r="A138" s="2" t="s">
        <v>12</v>
      </c>
      <c r="B138" s="2" t="s">
        <v>16</v>
      </c>
      <c r="C138" s="2" t="s">
        <v>19</v>
      </c>
      <c r="D138" s="2" t="s">
        <v>28</v>
      </c>
      <c r="E138" s="2" t="s">
        <v>34</v>
      </c>
      <c r="F138" s="2" t="s">
        <v>37</v>
      </c>
      <c r="G138" s="3">
        <v>3721247</v>
      </c>
      <c r="H138" s="3">
        <v>2878585</v>
      </c>
      <c r="I138" s="2" t="s">
        <v>11</v>
      </c>
      <c r="J138" s="3">
        <f t="shared" si="2"/>
        <v>239882.08333333334</v>
      </c>
    </row>
    <row r="139" spans="1:10" x14ac:dyDescent="0.35">
      <c r="A139" s="2" t="s">
        <v>12</v>
      </c>
      <c r="B139" s="2" t="s">
        <v>17</v>
      </c>
      <c r="C139" s="2" t="s">
        <v>19</v>
      </c>
      <c r="D139" s="2" t="s">
        <v>26</v>
      </c>
      <c r="E139" s="2" t="s">
        <v>34</v>
      </c>
      <c r="F139" s="2" t="s">
        <v>39</v>
      </c>
      <c r="G139" s="3">
        <v>1370571</v>
      </c>
      <c r="H139" s="3">
        <v>1054603</v>
      </c>
      <c r="I139" s="2" t="s">
        <v>11</v>
      </c>
      <c r="J139" s="3">
        <f t="shared" si="2"/>
        <v>87883.583333333328</v>
      </c>
    </row>
    <row r="140" spans="1:10" x14ac:dyDescent="0.35">
      <c r="A140" s="2" t="s">
        <v>11</v>
      </c>
      <c r="B140" s="2" t="s">
        <v>17</v>
      </c>
      <c r="C140" s="2" t="s">
        <v>18</v>
      </c>
      <c r="D140" s="2" t="s">
        <v>21</v>
      </c>
      <c r="E140" s="2" t="s">
        <v>30</v>
      </c>
      <c r="F140" s="2" t="s">
        <v>36</v>
      </c>
      <c r="G140" s="3">
        <v>2081143</v>
      </c>
      <c r="H140" s="3">
        <v>1512325</v>
      </c>
      <c r="I140" s="2" t="s">
        <v>11</v>
      </c>
      <c r="J140" s="3">
        <f t="shared" si="2"/>
        <v>126027.08333333333</v>
      </c>
    </row>
    <row r="141" spans="1:10" x14ac:dyDescent="0.35">
      <c r="A141" s="2" t="s">
        <v>14</v>
      </c>
      <c r="B141" s="2" t="s">
        <v>16</v>
      </c>
      <c r="C141" s="2" t="s">
        <v>19</v>
      </c>
      <c r="D141" s="2" t="s">
        <v>24</v>
      </c>
      <c r="E141" s="2" t="s">
        <v>32</v>
      </c>
      <c r="F141" s="2" t="s">
        <v>38</v>
      </c>
      <c r="G141" s="3">
        <v>4855299</v>
      </c>
      <c r="H141" s="3">
        <v>3592758</v>
      </c>
      <c r="I141" s="2" t="s">
        <v>40</v>
      </c>
      <c r="J141" s="3">
        <f t="shared" si="2"/>
        <v>299396.5</v>
      </c>
    </row>
    <row r="142" spans="1:10" x14ac:dyDescent="0.35">
      <c r="A142" s="2" t="s">
        <v>12</v>
      </c>
      <c r="B142" s="2" t="s">
        <v>17</v>
      </c>
      <c r="C142" s="2" t="s">
        <v>19</v>
      </c>
      <c r="D142" s="2" t="s">
        <v>27</v>
      </c>
      <c r="E142" s="2" t="s">
        <v>35</v>
      </c>
      <c r="F142" s="2" t="s">
        <v>36</v>
      </c>
      <c r="G142" s="3">
        <v>2341131</v>
      </c>
      <c r="H142" s="3">
        <v>1759315</v>
      </c>
      <c r="I142" s="2" t="s">
        <v>11</v>
      </c>
      <c r="J142" s="3">
        <f t="shared" si="2"/>
        <v>146609.58333333334</v>
      </c>
    </row>
    <row r="143" spans="1:10" x14ac:dyDescent="0.35">
      <c r="A143" s="2" t="s">
        <v>9</v>
      </c>
      <c r="B143" s="2" t="s">
        <v>16</v>
      </c>
      <c r="C143" s="2" t="s">
        <v>19</v>
      </c>
      <c r="D143" s="2" t="s">
        <v>22</v>
      </c>
      <c r="E143" s="2" t="s">
        <v>34</v>
      </c>
      <c r="F143" s="2" t="s">
        <v>38</v>
      </c>
      <c r="G143" s="3">
        <v>2533511</v>
      </c>
      <c r="H143" s="3">
        <v>1785437</v>
      </c>
      <c r="I143" s="2" t="s">
        <v>9</v>
      </c>
      <c r="J143" s="3">
        <f t="shared" si="2"/>
        <v>148786.41666666666</v>
      </c>
    </row>
    <row r="144" spans="1:10" x14ac:dyDescent="0.35">
      <c r="A144" s="2" t="s">
        <v>9</v>
      </c>
      <c r="B144" s="2" t="s">
        <v>17</v>
      </c>
      <c r="C144" s="2" t="s">
        <v>19</v>
      </c>
      <c r="D144" s="2" t="s">
        <v>23</v>
      </c>
      <c r="E144" s="2" t="s">
        <v>33</v>
      </c>
      <c r="F144" s="2" t="s">
        <v>38</v>
      </c>
      <c r="G144" s="3">
        <v>933029</v>
      </c>
      <c r="H144" s="3">
        <v>690577</v>
      </c>
      <c r="I144" s="2" t="s">
        <v>9</v>
      </c>
      <c r="J144" s="3">
        <f t="shared" si="2"/>
        <v>57548.083333333336</v>
      </c>
    </row>
    <row r="145" spans="1:10" x14ac:dyDescent="0.35">
      <c r="A145" s="2" t="s">
        <v>12</v>
      </c>
      <c r="B145" s="2" t="s">
        <v>15</v>
      </c>
      <c r="C145" s="2" t="s">
        <v>18</v>
      </c>
      <c r="D145" s="2" t="s">
        <v>20</v>
      </c>
      <c r="E145" s="2" t="s">
        <v>30</v>
      </c>
      <c r="F145" s="2" t="s">
        <v>36</v>
      </c>
      <c r="G145" s="3">
        <v>701887</v>
      </c>
      <c r="H145" s="3">
        <v>555251</v>
      </c>
      <c r="I145" s="2" t="s">
        <v>11</v>
      </c>
      <c r="J145" s="3">
        <f t="shared" si="2"/>
        <v>46270.916666666664</v>
      </c>
    </row>
    <row r="146" spans="1:10" x14ac:dyDescent="0.35">
      <c r="A146" s="2" t="s">
        <v>10</v>
      </c>
      <c r="B146" s="2" t="s">
        <v>16</v>
      </c>
      <c r="C146" s="2" t="s">
        <v>18</v>
      </c>
      <c r="D146" s="2" t="s">
        <v>26</v>
      </c>
      <c r="E146" s="2" t="s">
        <v>30</v>
      </c>
      <c r="F146" s="2" t="s">
        <v>39</v>
      </c>
      <c r="G146" s="3">
        <v>6700751</v>
      </c>
      <c r="H146" s="3">
        <v>4821988</v>
      </c>
      <c r="I146" s="2" t="s">
        <v>40</v>
      </c>
      <c r="J146" s="3">
        <f t="shared" si="2"/>
        <v>401832.33333333331</v>
      </c>
    </row>
    <row r="147" spans="1:10" x14ac:dyDescent="0.35">
      <c r="A147" s="2" t="s">
        <v>13</v>
      </c>
      <c r="B147" s="2" t="s">
        <v>17</v>
      </c>
      <c r="C147" s="2" t="s">
        <v>18</v>
      </c>
      <c r="D147" s="2" t="s">
        <v>20</v>
      </c>
      <c r="E147" s="2" t="s">
        <v>33</v>
      </c>
      <c r="F147" s="2" t="s">
        <v>39</v>
      </c>
      <c r="G147" s="3">
        <v>2483117</v>
      </c>
      <c r="H147" s="3">
        <v>1876462</v>
      </c>
      <c r="I147" s="2" t="s">
        <v>9</v>
      </c>
      <c r="J147" s="3">
        <f t="shared" si="2"/>
        <v>156371.83333333334</v>
      </c>
    </row>
    <row r="148" spans="1:10" x14ac:dyDescent="0.35">
      <c r="A148" s="2" t="s">
        <v>13</v>
      </c>
      <c r="B148" s="2" t="s">
        <v>17</v>
      </c>
      <c r="C148" s="2" t="s">
        <v>18</v>
      </c>
      <c r="D148" s="2" t="s">
        <v>24</v>
      </c>
      <c r="E148" s="2" t="s">
        <v>35</v>
      </c>
      <c r="F148" s="2" t="s">
        <v>36</v>
      </c>
      <c r="G148" s="3">
        <v>2142072</v>
      </c>
      <c r="H148" s="3">
        <v>1511706</v>
      </c>
      <c r="I148" s="2" t="s">
        <v>9</v>
      </c>
      <c r="J148" s="3">
        <f t="shared" si="2"/>
        <v>125975.5</v>
      </c>
    </row>
    <row r="149" spans="1:10" x14ac:dyDescent="0.35">
      <c r="A149" s="2" t="s">
        <v>12</v>
      </c>
      <c r="B149" s="2" t="s">
        <v>15</v>
      </c>
      <c r="C149" s="2" t="s">
        <v>18</v>
      </c>
      <c r="D149" s="2" t="s">
        <v>28</v>
      </c>
      <c r="E149" s="2" t="s">
        <v>29</v>
      </c>
      <c r="F149" s="2" t="s">
        <v>37</v>
      </c>
      <c r="G149" s="3">
        <v>710375</v>
      </c>
      <c r="H149" s="3">
        <v>534050</v>
      </c>
      <c r="I149" s="2" t="s">
        <v>11</v>
      </c>
      <c r="J149" s="3">
        <f t="shared" si="2"/>
        <v>44504.166666666664</v>
      </c>
    </row>
    <row r="150" spans="1:10" x14ac:dyDescent="0.35">
      <c r="A150" s="2" t="s">
        <v>10</v>
      </c>
      <c r="B150" s="2" t="s">
        <v>16</v>
      </c>
      <c r="C150" s="2" t="s">
        <v>18</v>
      </c>
      <c r="D150" s="2" t="s">
        <v>20</v>
      </c>
      <c r="E150" s="2" t="s">
        <v>31</v>
      </c>
      <c r="F150" s="2" t="s">
        <v>38</v>
      </c>
      <c r="G150" s="3">
        <v>5235775</v>
      </c>
      <c r="H150" s="3">
        <v>4128798</v>
      </c>
      <c r="I150" s="2" t="s">
        <v>40</v>
      </c>
      <c r="J150" s="3">
        <f t="shared" si="2"/>
        <v>344066.5</v>
      </c>
    </row>
    <row r="151" spans="1:10" x14ac:dyDescent="0.35">
      <c r="A151" s="2" t="s">
        <v>13</v>
      </c>
      <c r="B151" s="2" t="s">
        <v>16</v>
      </c>
      <c r="C151" s="2" t="s">
        <v>18</v>
      </c>
      <c r="D151" s="2" t="s">
        <v>25</v>
      </c>
      <c r="E151" s="2" t="s">
        <v>34</v>
      </c>
      <c r="F151" s="2" t="s">
        <v>38</v>
      </c>
      <c r="G151" s="3">
        <v>3260433</v>
      </c>
      <c r="H151" s="3">
        <v>2556444</v>
      </c>
      <c r="I151" s="2" t="s">
        <v>9</v>
      </c>
      <c r="J151" s="3">
        <f t="shared" si="2"/>
        <v>213037</v>
      </c>
    </row>
    <row r="152" spans="1:10" x14ac:dyDescent="0.35">
      <c r="A152" s="2" t="s">
        <v>13</v>
      </c>
      <c r="B152" s="2" t="s">
        <v>17</v>
      </c>
      <c r="C152" s="2" t="s">
        <v>18</v>
      </c>
      <c r="D152" s="2" t="s">
        <v>27</v>
      </c>
      <c r="E152" s="2" t="s">
        <v>32</v>
      </c>
      <c r="F152" s="2" t="s">
        <v>38</v>
      </c>
      <c r="G152" s="3">
        <v>1637804</v>
      </c>
      <c r="H152" s="3">
        <v>1158285</v>
      </c>
      <c r="I152" s="2" t="s">
        <v>9</v>
      </c>
      <c r="J152" s="3">
        <f t="shared" si="2"/>
        <v>96523.75</v>
      </c>
    </row>
    <row r="153" spans="1:10" x14ac:dyDescent="0.35">
      <c r="A153" s="2" t="s">
        <v>13</v>
      </c>
      <c r="B153" s="2" t="s">
        <v>16</v>
      </c>
      <c r="C153" s="2" t="s">
        <v>19</v>
      </c>
      <c r="D153" s="2" t="s">
        <v>22</v>
      </c>
      <c r="E153" s="2" t="s">
        <v>30</v>
      </c>
      <c r="F153" s="2" t="s">
        <v>37</v>
      </c>
      <c r="G153" s="3">
        <v>4417581</v>
      </c>
      <c r="H153" s="3">
        <v>3192470</v>
      </c>
      <c r="I153" s="2" t="s">
        <v>9</v>
      </c>
      <c r="J153" s="3">
        <f t="shared" si="2"/>
        <v>266039.16666666669</v>
      </c>
    </row>
    <row r="154" spans="1:10" x14ac:dyDescent="0.35">
      <c r="A154" s="2" t="s">
        <v>14</v>
      </c>
      <c r="B154" s="2" t="s">
        <v>15</v>
      </c>
      <c r="C154" s="2" t="s">
        <v>19</v>
      </c>
      <c r="D154" s="2" t="s">
        <v>20</v>
      </c>
      <c r="E154" s="2" t="s">
        <v>35</v>
      </c>
      <c r="F154" s="2" t="s">
        <v>36</v>
      </c>
      <c r="G154" s="3">
        <v>1291780</v>
      </c>
      <c r="H154" s="3">
        <v>914396</v>
      </c>
      <c r="I154" s="2" t="s">
        <v>40</v>
      </c>
      <c r="J154" s="3">
        <f t="shared" si="2"/>
        <v>76199.666666666672</v>
      </c>
    </row>
    <row r="155" spans="1:10" x14ac:dyDescent="0.35">
      <c r="A155" s="2" t="s">
        <v>9</v>
      </c>
      <c r="B155" s="2" t="s">
        <v>17</v>
      </c>
      <c r="C155" s="2" t="s">
        <v>18</v>
      </c>
      <c r="D155" s="2" t="s">
        <v>26</v>
      </c>
      <c r="E155" s="2" t="s">
        <v>33</v>
      </c>
      <c r="F155" s="2" t="s">
        <v>37</v>
      </c>
      <c r="G155" s="3">
        <v>843059</v>
      </c>
      <c r="H155" s="3">
        <v>615739</v>
      </c>
      <c r="I155" s="2" t="s">
        <v>9</v>
      </c>
      <c r="J155" s="3">
        <f t="shared" si="2"/>
        <v>51311.583333333336</v>
      </c>
    </row>
    <row r="156" spans="1:10" x14ac:dyDescent="0.35">
      <c r="A156" s="2" t="s">
        <v>14</v>
      </c>
      <c r="B156" s="2" t="s">
        <v>16</v>
      </c>
      <c r="C156" s="2" t="s">
        <v>18</v>
      </c>
      <c r="D156" s="2" t="s">
        <v>25</v>
      </c>
      <c r="E156" s="2" t="s">
        <v>33</v>
      </c>
      <c r="F156" s="2" t="s">
        <v>37</v>
      </c>
      <c r="G156" s="3">
        <v>6886685</v>
      </c>
      <c r="H156" s="3">
        <v>5518865</v>
      </c>
      <c r="I156" s="2" t="s">
        <v>40</v>
      </c>
      <c r="J156" s="3">
        <f t="shared" si="2"/>
        <v>459905.41666666669</v>
      </c>
    </row>
    <row r="157" spans="1:10" x14ac:dyDescent="0.35">
      <c r="A157" s="2" t="s">
        <v>9</v>
      </c>
      <c r="B157" s="2" t="s">
        <v>17</v>
      </c>
      <c r="C157" s="2" t="s">
        <v>18</v>
      </c>
      <c r="D157" s="2" t="s">
        <v>21</v>
      </c>
      <c r="E157" s="2" t="s">
        <v>29</v>
      </c>
      <c r="F157" s="2" t="s">
        <v>38</v>
      </c>
      <c r="G157" s="3">
        <v>976385</v>
      </c>
      <c r="H157" s="3">
        <v>720993</v>
      </c>
      <c r="I157" s="2" t="s">
        <v>9</v>
      </c>
      <c r="J157" s="3">
        <f t="shared" si="2"/>
        <v>60082.75</v>
      </c>
    </row>
    <row r="158" spans="1:10" x14ac:dyDescent="0.35">
      <c r="A158" s="2" t="s">
        <v>13</v>
      </c>
      <c r="B158" s="2" t="s">
        <v>15</v>
      </c>
      <c r="C158" s="2" t="s">
        <v>19</v>
      </c>
      <c r="D158" s="2" t="s">
        <v>22</v>
      </c>
      <c r="E158" s="2" t="s">
        <v>35</v>
      </c>
      <c r="F158" s="2" t="s">
        <v>36</v>
      </c>
      <c r="G158" s="3">
        <v>971520</v>
      </c>
      <c r="H158" s="3">
        <v>680738</v>
      </c>
      <c r="I158" s="2" t="s">
        <v>9</v>
      </c>
      <c r="J158" s="3">
        <f t="shared" si="2"/>
        <v>56728.166666666664</v>
      </c>
    </row>
    <row r="159" spans="1:10" x14ac:dyDescent="0.35">
      <c r="A159" s="2" t="s">
        <v>11</v>
      </c>
      <c r="B159" s="2" t="s">
        <v>15</v>
      </c>
      <c r="C159" s="2" t="s">
        <v>18</v>
      </c>
      <c r="D159" s="2" t="s">
        <v>20</v>
      </c>
      <c r="E159" s="2" t="s">
        <v>29</v>
      </c>
      <c r="F159" s="2" t="s">
        <v>37</v>
      </c>
      <c r="G159" s="3">
        <v>502148</v>
      </c>
      <c r="H159" s="3">
        <v>393636</v>
      </c>
      <c r="I159" s="2" t="s">
        <v>11</v>
      </c>
      <c r="J159" s="3">
        <f t="shared" si="2"/>
        <v>32803</v>
      </c>
    </row>
    <row r="160" spans="1:10" x14ac:dyDescent="0.35">
      <c r="A160" s="2" t="s">
        <v>14</v>
      </c>
      <c r="B160" s="2" t="s">
        <v>16</v>
      </c>
      <c r="C160" s="2" t="s">
        <v>19</v>
      </c>
      <c r="D160" s="2" t="s">
        <v>23</v>
      </c>
      <c r="E160" s="2" t="s">
        <v>33</v>
      </c>
      <c r="F160" s="2" t="s">
        <v>37</v>
      </c>
      <c r="G160" s="3">
        <v>6738817</v>
      </c>
      <c r="H160" s="3">
        <v>5365727</v>
      </c>
      <c r="I160" s="2" t="s">
        <v>40</v>
      </c>
      <c r="J160" s="3">
        <f t="shared" si="2"/>
        <v>447143.91666666669</v>
      </c>
    </row>
    <row r="161" spans="1:10" x14ac:dyDescent="0.35">
      <c r="A161" s="2" t="s">
        <v>10</v>
      </c>
      <c r="B161" s="2" t="s">
        <v>16</v>
      </c>
      <c r="C161" s="2" t="s">
        <v>18</v>
      </c>
      <c r="D161" s="2" t="s">
        <v>21</v>
      </c>
      <c r="E161" s="2" t="s">
        <v>34</v>
      </c>
      <c r="F161" s="2" t="s">
        <v>39</v>
      </c>
      <c r="G161" s="3">
        <v>4087559</v>
      </c>
      <c r="H161" s="3">
        <v>2933898</v>
      </c>
      <c r="I161" s="2" t="s">
        <v>40</v>
      </c>
      <c r="J161" s="3">
        <f t="shared" si="2"/>
        <v>244491.5</v>
      </c>
    </row>
    <row r="162" spans="1:10" x14ac:dyDescent="0.35">
      <c r="A162" s="2" t="s">
        <v>11</v>
      </c>
      <c r="B162" s="2" t="s">
        <v>15</v>
      </c>
      <c r="C162" s="2" t="s">
        <v>19</v>
      </c>
      <c r="D162" s="2" t="s">
        <v>21</v>
      </c>
      <c r="E162" s="2" t="s">
        <v>33</v>
      </c>
      <c r="F162" s="2" t="s">
        <v>37</v>
      </c>
      <c r="G162" s="3">
        <v>1105580</v>
      </c>
      <c r="H162" s="3">
        <v>865503</v>
      </c>
      <c r="I162" s="2" t="s">
        <v>11</v>
      </c>
      <c r="J162" s="3">
        <f t="shared" si="2"/>
        <v>72125.25</v>
      </c>
    </row>
    <row r="163" spans="1:10" x14ac:dyDescent="0.35">
      <c r="A163" s="2" t="s">
        <v>13</v>
      </c>
      <c r="B163" s="2" t="s">
        <v>15</v>
      </c>
      <c r="C163" s="2" t="s">
        <v>19</v>
      </c>
      <c r="D163" s="2" t="s">
        <v>27</v>
      </c>
      <c r="E163" s="2" t="s">
        <v>30</v>
      </c>
      <c r="F163" s="2" t="s">
        <v>38</v>
      </c>
      <c r="G163" s="3">
        <v>1033896</v>
      </c>
      <c r="H163" s="3">
        <v>839754</v>
      </c>
      <c r="I163" s="2" t="s">
        <v>9</v>
      </c>
      <c r="J163" s="3">
        <f t="shared" si="2"/>
        <v>69979.5</v>
      </c>
    </row>
    <row r="164" spans="1:10" x14ac:dyDescent="0.35">
      <c r="A164" s="2" t="s">
        <v>9</v>
      </c>
      <c r="B164" s="2" t="s">
        <v>15</v>
      </c>
      <c r="C164" s="2" t="s">
        <v>18</v>
      </c>
      <c r="D164" s="2" t="s">
        <v>21</v>
      </c>
      <c r="E164" s="2" t="s">
        <v>32</v>
      </c>
      <c r="F164" s="2" t="s">
        <v>37</v>
      </c>
      <c r="G164" s="3">
        <v>328937</v>
      </c>
      <c r="H164" s="3">
        <v>251756</v>
      </c>
      <c r="I164" s="2" t="s">
        <v>9</v>
      </c>
      <c r="J164" s="3">
        <f t="shared" si="2"/>
        <v>20979.666666666668</v>
      </c>
    </row>
    <row r="165" spans="1:10" x14ac:dyDescent="0.35">
      <c r="A165" s="2" t="s">
        <v>12</v>
      </c>
      <c r="B165" s="2" t="s">
        <v>17</v>
      </c>
      <c r="C165" s="2" t="s">
        <v>18</v>
      </c>
      <c r="D165" s="2" t="s">
        <v>28</v>
      </c>
      <c r="E165" s="2" t="s">
        <v>29</v>
      </c>
      <c r="F165" s="2" t="s">
        <v>36</v>
      </c>
      <c r="G165" s="3">
        <v>2061384</v>
      </c>
      <c r="H165" s="3">
        <v>1632889</v>
      </c>
      <c r="I165" s="2" t="s">
        <v>11</v>
      </c>
      <c r="J165" s="3">
        <f t="shared" si="2"/>
        <v>136074.08333333334</v>
      </c>
    </row>
    <row r="166" spans="1:10" x14ac:dyDescent="0.35">
      <c r="A166" s="2" t="s">
        <v>9</v>
      </c>
      <c r="B166" s="2" t="s">
        <v>17</v>
      </c>
      <c r="C166" s="2" t="s">
        <v>19</v>
      </c>
      <c r="D166" s="2" t="s">
        <v>22</v>
      </c>
      <c r="E166" s="2" t="s">
        <v>33</v>
      </c>
      <c r="F166" s="2" t="s">
        <v>36</v>
      </c>
      <c r="G166" s="3">
        <v>1651671</v>
      </c>
      <c r="H166" s="3">
        <v>1259301</v>
      </c>
      <c r="I166" s="2" t="s">
        <v>9</v>
      </c>
      <c r="J166" s="3">
        <f t="shared" si="2"/>
        <v>104941.75</v>
      </c>
    </row>
    <row r="167" spans="1:10" x14ac:dyDescent="0.35">
      <c r="A167" s="2" t="s">
        <v>9</v>
      </c>
      <c r="B167" s="2" t="s">
        <v>16</v>
      </c>
      <c r="C167" s="2" t="s">
        <v>18</v>
      </c>
      <c r="D167" s="2" t="s">
        <v>20</v>
      </c>
      <c r="E167" s="2" t="s">
        <v>32</v>
      </c>
      <c r="F167" s="2" t="s">
        <v>36</v>
      </c>
      <c r="G167" s="3">
        <v>2996095</v>
      </c>
      <c r="H167" s="3">
        <v>2370134</v>
      </c>
      <c r="I167" s="2" t="s">
        <v>9</v>
      </c>
      <c r="J167" s="3">
        <f t="shared" si="2"/>
        <v>197511.16666666666</v>
      </c>
    </row>
    <row r="168" spans="1:10" x14ac:dyDescent="0.35">
      <c r="A168" s="2" t="s">
        <v>9</v>
      </c>
      <c r="B168" s="2" t="s">
        <v>17</v>
      </c>
      <c r="C168" s="2" t="s">
        <v>18</v>
      </c>
      <c r="D168" s="2" t="s">
        <v>27</v>
      </c>
      <c r="E168" s="2" t="s">
        <v>34</v>
      </c>
      <c r="F168" s="2" t="s">
        <v>38</v>
      </c>
      <c r="G168" s="3">
        <v>1222626</v>
      </c>
      <c r="H168" s="3">
        <v>983870</v>
      </c>
      <c r="I168" s="2" t="s">
        <v>9</v>
      </c>
      <c r="J168" s="3">
        <f t="shared" si="2"/>
        <v>81989.166666666672</v>
      </c>
    </row>
    <row r="169" spans="1:10" x14ac:dyDescent="0.35">
      <c r="A169" s="2" t="s">
        <v>13</v>
      </c>
      <c r="B169" s="2" t="s">
        <v>17</v>
      </c>
      <c r="C169" s="2" t="s">
        <v>18</v>
      </c>
      <c r="D169" s="2" t="s">
        <v>21</v>
      </c>
      <c r="E169" s="2" t="s">
        <v>34</v>
      </c>
      <c r="F169" s="2" t="s">
        <v>38</v>
      </c>
      <c r="G169" s="3">
        <v>1512112</v>
      </c>
      <c r="H169" s="3">
        <v>1208306</v>
      </c>
      <c r="I169" s="2" t="s">
        <v>9</v>
      </c>
      <c r="J169" s="3">
        <f t="shared" si="2"/>
        <v>100692.16666666667</v>
      </c>
    </row>
    <row r="170" spans="1:10" x14ac:dyDescent="0.35">
      <c r="A170" s="2" t="s">
        <v>14</v>
      </c>
      <c r="B170" s="2" t="s">
        <v>15</v>
      </c>
      <c r="C170" s="2" t="s">
        <v>19</v>
      </c>
      <c r="D170" s="2" t="s">
        <v>23</v>
      </c>
      <c r="E170" s="2" t="s">
        <v>33</v>
      </c>
      <c r="F170" s="2" t="s">
        <v>36</v>
      </c>
      <c r="G170" s="3">
        <v>836054</v>
      </c>
      <c r="H170" s="3">
        <v>600342</v>
      </c>
      <c r="I170" s="2" t="s">
        <v>40</v>
      </c>
      <c r="J170" s="3">
        <f t="shared" si="2"/>
        <v>50028.5</v>
      </c>
    </row>
    <row r="171" spans="1:10" x14ac:dyDescent="0.35">
      <c r="A171" s="2" t="s">
        <v>9</v>
      </c>
      <c r="B171" s="2" t="s">
        <v>16</v>
      </c>
      <c r="C171" s="2" t="s">
        <v>19</v>
      </c>
      <c r="D171" s="2" t="s">
        <v>23</v>
      </c>
      <c r="E171" s="2" t="s">
        <v>30</v>
      </c>
      <c r="F171" s="2" t="s">
        <v>36</v>
      </c>
      <c r="G171" s="3">
        <v>2170341</v>
      </c>
      <c r="H171" s="3">
        <v>1574587</v>
      </c>
      <c r="I171" s="2" t="s">
        <v>9</v>
      </c>
      <c r="J171" s="3">
        <f t="shared" si="2"/>
        <v>131215.58333333334</v>
      </c>
    </row>
    <row r="172" spans="1:10" x14ac:dyDescent="0.35">
      <c r="A172" s="2" t="s">
        <v>14</v>
      </c>
      <c r="B172" s="2" t="s">
        <v>16</v>
      </c>
      <c r="C172" s="2" t="s">
        <v>19</v>
      </c>
      <c r="D172" s="2" t="s">
        <v>21</v>
      </c>
      <c r="E172" s="2" t="s">
        <v>32</v>
      </c>
      <c r="F172" s="2" t="s">
        <v>36</v>
      </c>
      <c r="G172" s="3">
        <v>6513308</v>
      </c>
      <c r="H172" s="3">
        <v>5089523</v>
      </c>
      <c r="I172" s="2" t="s">
        <v>40</v>
      </c>
      <c r="J172" s="3">
        <f t="shared" si="2"/>
        <v>424126.91666666669</v>
      </c>
    </row>
    <row r="173" spans="1:10" x14ac:dyDescent="0.35">
      <c r="A173" s="2" t="s">
        <v>11</v>
      </c>
      <c r="B173" s="2" t="s">
        <v>15</v>
      </c>
      <c r="C173" s="2" t="s">
        <v>19</v>
      </c>
      <c r="D173" s="2" t="s">
        <v>23</v>
      </c>
      <c r="E173" s="2" t="s">
        <v>35</v>
      </c>
      <c r="F173" s="2" t="s">
        <v>36</v>
      </c>
      <c r="G173" s="3">
        <v>492095</v>
      </c>
      <c r="H173" s="3">
        <v>377287</v>
      </c>
      <c r="I173" s="2" t="s">
        <v>11</v>
      </c>
      <c r="J173" s="3">
        <f t="shared" si="2"/>
        <v>31440.583333333332</v>
      </c>
    </row>
    <row r="174" spans="1:10" x14ac:dyDescent="0.35">
      <c r="A174" s="2" t="s">
        <v>10</v>
      </c>
      <c r="B174" s="2" t="s">
        <v>17</v>
      </c>
      <c r="C174" s="2" t="s">
        <v>19</v>
      </c>
      <c r="D174" s="2" t="s">
        <v>25</v>
      </c>
      <c r="E174" s="2" t="s">
        <v>31</v>
      </c>
      <c r="F174" s="2" t="s">
        <v>39</v>
      </c>
      <c r="G174" s="3">
        <v>2741325</v>
      </c>
      <c r="H174" s="3">
        <v>2020851</v>
      </c>
      <c r="I174" s="2" t="s">
        <v>40</v>
      </c>
      <c r="J174" s="3">
        <f t="shared" si="2"/>
        <v>168404.25</v>
      </c>
    </row>
    <row r="175" spans="1:10" x14ac:dyDescent="0.35">
      <c r="A175" s="2" t="s">
        <v>14</v>
      </c>
      <c r="B175" s="2" t="s">
        <v>15</v>
      </c>
      <c r="C175" s="2" t="s">
        <v>18</v>
      </c>
      <c r="D175" s="2" t="s">
        <v>26</v>
      </c>
      <c r="E175" s="2" t="s">
        <v>35</v>
      </c>
      <c r="F175" s="2" t="s">
        <v>36</v>
      </c>
      <c r="G175" s="3">
        <v>1236818</v>
      </c>
      <c r="H175" s="3">
        <v>906505</v>
      </c>
      <c r="I175" s="2" t="s">
        <v>40</v>
      </c>
      <c r="J175" s="3">
        <f t="shared" si="2"/>
        <v>75542.083333333328</v>
      </c>
    </row>
    <row r="176" spans="1:10" x14ac:dyDescent="0.35">
      <c r="A176" s="2" t="s">
        <v>12</v>
      </c>
      <c r="B176" s="2" t="s">
        <v>16</v>
      </c>
      <c r="C176" s="2" t="s">
        <v>18</v>
      </c>
      <c r="D176" s="2" t="s">
        <v>20</v>
      </c>
      <c r="E176" s="2" t="s">
        <v>33</v>
      </c>
      <c r="F176" s="2" t="s">
        <v>39</v>
      </c>
      <c r="G176" s="3">
        <v>4313767</v>
      </c>
      <c r="H176" s="3">
        <v>3303331</v>
      </c>
      <c r="I176" s="2" t="s">
        <v>11</v>
      </c>
      <c r="J176" s="3">
        <f t="shared" si="2"/>
        <v>275277.58333333331</v>
      </c>
    </row>
    <row r="177" spans="1:10" x14ac:dyDescent="0.35">
      <c r="A177" s="2" t="s">
        <v>12</v>
      </c>
      <c r="B177" s="2" t="s">
        <v>16</v>
      </c>
      <c r="C177" s="2" t="s">
        <v>18</v>
      </c>
      <c r="D177" s="2" t="s">
        <v>25</v>
      </c>
      <c r="E177" s="2" t="s">
        <v>31</v>
      </c>
      <c r="F177" s="2" t="s">
        <v>36</v>
      </c>
      <c r="G177" s="3">
        <v>4967867</v>
      </c>
      <c r="H177" s="3">
        <v>3675775</v>
      </c>
      <c r="I177" s="2" t="s">
        <v>11</v>
      </c>
      <c r="J177" s="3">
        <f t="shared" si="2"/>
        <v>306314.58333333331</v>
      </c>
    </row>
    <row r="178" spans="1:10" x14ac:dyDescent="0.35">
      <c r="A178" s="2" t="s">
        <v>10</v>
      </c>
      <c r="B178" s="2" t="s">
        <v>15</v>
      </c>
      <c r="C178" s="2" t="s">
        <v>19</v>
      </c>
      <c r="D178" s="2" t="s">
        <v>23</v>
      </c>
      <c r="E178" s="2" t="s">
        <v>35</v>
      </c>
      <c r="F178" s="2" t="s">
        <v>38</v>
      </c>
      <c r="G178" s="3">
        <v>1517860</v>
      </c>
      <c r="H178" s="3">
        <v>1209742</v>
      </c>
      <c r="I178" s="2" t="s">
        <v>40</v>
      </c>
      <c r="J178" s="3">
        <f t="shared" si="2"/>
        <v>100811.83333333333</v>
      </c>
    </row>
    <row r="179" spans="1:10" x14ac:dyDescent="0.35">
      <c r="A179" s="2" t="s">
        <v>13</v>
      </c>
      <c r="B179" s="2" t="s">
        <v>17</v>
      </c>
      <c r="C179" s="2" t="s">
        <v>19</v>
      </c>
      <c r="D179" s="2" t="s">
        <v>28</v>
      </c>
      <c r="E179" s="2" t="s">
        <v>34</v>
      </c>
      <c r="F179" s="2" t="s">
        <v>36</v>
      </c>
      <c r="G179" s="3">
        <v>1935736</v>
      </c>
      <c r="H179" s="3">
        <v>1442041</v>
      </c>
      <c r="I179" s="2" t="s">
        <v>9</v>
      </c>
      <c r="J179" s="3">
        <f t="shared" si="2"/>
        <v>120170.08333333333</v>
      </c>
    </row>
    <row r="180" spans="1:10" x14ac:dyDescent="0.35">
      <c r="A180" s="2" t="s">
        <v>11</v>
      </c>
      <c r="B180" s="2" t="s">
        <v>15</v>
      </c>
      <c r="C180" s="2" t="s">
        <v>18</v>
      </c>
      <c r="D180" s="2" t="s">
        <v>26</v>
      </c>
      <c r="E180" s="2" t="s">
        <v>29</v>
      </c>
      <c r="F180" s="2" t="s">
        <v>36</v>
      </c>
      <c r="G180" s="3">
        <v>913915</v>
      </c>
      <c r="H180" s="3">
        <v>708780</v>
      </c>
      <c r="I180" s="2" t="s">
        <v>11</v>
      </c>
      <c r="J180" s="3">
        <f t="shared" si="2"/>
        <v>59065</v>
      </c>
    </row>
    <row r="181" spans="1:10" x14ac:dyDescent="0.35">
      <c r="A181" s="2" t="s">
        <v>9</v>
      </c>
      <c r="B181" s="2" t="s">
        <v>15</v>
      </c>
      <c r="C181" s="2" t="s">
        <v>18</v>
      </c>
      <c r="D181" s="2" t="s">
        <v>27</v>
      </c>
      <c r="E181" s="2" t="s">
        <v>29</v>
      </c>
      <c r="F181" s="2" t="s">
        <v>37</v>
      </c>
      <c r="G181" s="3">
        <v>787937</v>
      </c>
      <c r="H181" s="3">
        <v>591667</v>
      </c>
      <c r="I181" s="2" t="s">
        <v>9</v>
      </c>
      <c r="J181" s="3">
        <f t="shared" si="2"/>
        <v>49305.583333333336</v>
      </c>
    </row>
    <row r="182" spans="1:10" x14ac:dyDescent="0.35">
      <c r="A182" s="2" t="s">
        <v>13</v>
      </c>
      <c r="B182" s="2" t="s">
        <v>15</v>
      </c>
      <c r="C182" s="2" t="s">
        <v>19</v>
      </c>
      <c r="D182" s="2" t="s">
        <v>28</v>
      </c>
      <c r="E182" s="2" t="s">
        <v>33</v>
      </c>
      <c r="F182" s="2" t="s">
        <v>36</v>
      </c>
      <c r="G182" s="3">
        <v>659929</v>
      </c>
      <c r="H182" s="3">
        <v>479708</v>
      </c>
      <c r="I182" s="2" t="s">
        <v>9</v>
      </c>
      <c r="J182" s="3">
        <f t="shared" si="2"/>
        <v>39975.666666666664</v>
      </c>
    </row>
    <row r="183" spans="1:10" x14ac:dyDescent="0.35">
      <c r="A183" s="2" t="s">
        <v>11</v>
      </c>
      <c r="B183" s="2" t="s">
        <v>15</v>
      </c>
      <c r="C183" s="2" t="s">
        <v>18</v>
      </c>
      <c r="D183" s="2" t="s">
        <v>22</v>
      </c>
      <c r="E183" s="2" t="s">
        <v>33</v>
      </c>
      <c r="F183" s="2" t="s">
        <v>37</v>
      </c>
      <c r="G183" s="3">
        <v>576038</v>
      </c>
      <c r="H183" s="3">
        <v>422866</v>
      </c>
      <c r="I183" s="2" t="s">
        <v>11</v>
      </c>
      <c r="J183" s="3">
        <f t="shared" si="2"/>
        <v>35238.833333333336</v>
      </c>
    </row>
    <row r="184" spans="1:10" x14ac:dyDescent="0.35">
      <c r="A184" s="2" t="s">
        <v>13</v>
      </c>
      <c r="B184" s="2" t="s">
        <v>16</v>
      </c>
      <c r="C184" s="2" t="s">
        <v>19</v>
      </c>
      <c r="D184" s="2" t="s">
        <v>20</v>
      </c>
      <c r="E184" s="2" t="s">
        <v>33</v>
      </c>
      <c r="F184" s="2" t="s">
        <v>36</v>
      </c>
      <c r="G184" s="3">
        <v>3098989</v>
      </c>
      <c r="H184" s="3">
        <v>2460190</v>
      </c>
      <c r="I184" s="2" t="s">
        <v>9</v>
      </c>
      <c r="J184" s="3">
        <f t="shared" si="2"/>
        <v>205015.83333333334</v>
      </c>
    </row>
    <row r="185" spans="1:10" x14ac:dyDescent="0.35">
      <c r="A185" s="2" t="s">
        <v>13</v>
      </c>
      <c r="B185" s="2" t="s">
        <v>16</v>
      </c>
      <c r="C185" s="2" t="s">
        <v>18</v>
      </c>
      <c r="D185" s="2" t="s">
        <v>22</v>
      </c>
      <c r="E185" s="2" t="s">
        <v>31</v>
      </c>
      <c r="F185" s="2" t="s">
        <v>38</v>
      </c>
      <c r="G185" s="3">
        <v>3266434</v>
      </c>
      <c r="H185" s="3">
        <v>2519799</v>
      </c>
      <c r="I185" s="2" t="s">
        <v>9</v>
      </c>
      <c r="J185" s="3">
        <f t="shared" si="2"/>
        <v>209983.25</v>
      </c>
    </row>
    <row r="186" spans="1:10" x14ac:dyDescent="0.35">
      <c r="A186" s="2" t="s">
        <v>14</v>
      </c>
      <c r="B186" s="2" t="s">
        <v>16</v>
      </c>
      <c r="C186" s="2" t="s">
        <v>18</v>
      </c>
      <c r="D186" s="2" t="s">
        <v>24</v>
      </c>
      <c r="E186" s="2" t="s">
        <v>33</v>
      </c>
      <c r="F186" s="2" t="s">
        <v>39</v>
      </c>
      <c r="G186" s="3">
        <v>6605500</v>
      </c>
      <c r="H186" s="3">
        <v>4752824</v>
      </c>
      <c r="I186" s="2" t="s">
        <v>40</v>
      </c>
      <c r="J186" s="3">
        <f t="shared" si="2"/>
        <v>396068.66666666669</v>
      </c>
    </row>
    <row r="187" spans="1:10" x14ac:dyDescent="0.35">
      <c r="A187" s="2" t="s">
        <v>14</v>
      </c>
      <c r="B187" s="2" t="s">
        <v>17</v>
      </c>
      <c r="C187" s="2" t="s">
        <v>19</v>
      </c>
      <c r="D187" s="2" t="s">
        <v>22</v>
      </c>
      <c r="E187" s="2" t="s">
        <v>33</v>
      </c>
      <c r="F187" s="2" t="s">
        <v>37</v>
      </c>
      <c r="G187" s="3">
        <v>1508245</v>
      </c>
      <c r="H187" s="3">
        <v>1161949</v>
      </c>
      <c r="I187" s="2" t="s">
        <v>40</v>
      </c>
      <c r="J187" s="3">
        <f t="shared" si="2"/>
        <v>96829.083333333328</v>
      </c>
    </row>
    <row r="188" spans="1:10" x14ac:dyDescent="0.35">
      <c r="A188" s="2" t="s">
        <v>13</v>
      </c>
      <c r="B188" s="2" t="s">
        <v>16</v>
      </c>
      <c r="C188" s="2" t="s">
        <v>19</v>
      </c>
      <c r="D188" s="2" t="s">
        <v>28</v>
      </c>
      <c r="E188" s="2" t="s">
        <v>29</v>
      </c>
      <c r="F188" s="2" t="s">
        <v>36</v>
      </c>
      <c r="G188" s="3">
        <v>4844622</v>
      </c>
      <c r="H188" s="3">
        <v>3720339</v>
      </c>
      <c r="I188" s="2" t="s">
        <v>9</v>
      </c>
      <c r="J188" s="3">
        <f t="shared" si="2"/>
        <v>310028.25</v>
      </c>
    </row>
    <row r="189" spans="1:10" x14ac:dyDescent="0.35">
      <c r="A189" s="2" t="s">
        <v>13</v>
      </c>
      <c r="B189" s="2" t="s">
        <v>15</v>
      </c>
      <c r="C189" s="2" t="s">
        <v>18</v>
      </c>
      <c r="D189" s="2" t="s">
        <v>21</v>
      </c>
      <c r="E189" s="2" t="s">
        <v>35</v>
      </c>
      <c r="F189" s="2" t="s">
        <v>37</v>
      </c>
      <c r="G189" s="3">
        <v>655091</v>
      </c>
      <c r="H189" s="3">
        <v>467442</v>
      </c>
      <c r="I189" s="2" t="s">
        <v>9</v>
      </c>
      <c r="J189" s="3">
        <f t="shared" si="2"/>
        <v>38953.5</v>
      </c>
    </row>
    <row r="190" spans="1:10" x14ac:dyDescent="0.35">
      <c r="A190" s="2" t="s">
        <v>11</v>
      </c>
      <c r="B190" s="2" t="s">
        <v>17</v>
      </c>
      <c r="C190" s="2" t="s">
        <v>19</v>
      </c>
      <c r="D190" s="2" t="s">
        <v>28</v>
      </c>
      <c r="E190" s="2" t="s">
        <v>29</v>
      </c>
      <c r="F190" s="2" t="s">
        <v>36</v>
      </c>
      <c r="G190" s="3">
        <v>2118764</v>
      </c>
      <c r="H190" s="3">
        <v>1592665</v>
      </c>
      <c r="I190" s="2" t="s">
        <v>11</v>
      </c>
      <c r="J190" s="3">
        <f t="shared" si="2"/>
        <v>132722.08333333334</v>
      </c>
    </row>
    <row r="191" spans="1:10" x14ac:dyDescent="0.35">
      <c r="A191" s="2" t="s">
        <v>10</v>
      </c>
      <c r="B191" s="2" t="s">
        <v>16</v>
      </c>
      <c r="C191" s="2" t="s">
        <v>19</v>
      </c>
      <c r="D191" s="2" t="s">
        <v>23</v>
      </c>
      <c r="E191" s="2" t="s">
        <v>30</v>
      </c>
      <c r="F191" s="2" t="s">
        <v>36</v>
      </c>
      <c r="G191" s="3">
        <v>6930317</v>
      </c>
      <c r="H191" s="3">
        <v>5170291</v>
      </c>
      <c r="I191" s="2" t="s">
        <v>40</v>
      </c>
      <c r="J191" s="3">
        <f t="shared" si="2"/>
        <v>430857.58333333331</v>
      </c>
    </row>
    <row r="192" spans="1:10" x14ac:dyDescent="0.35">
      <c r="A192" s="2" t="s">
        <v>9</v>
      </c>
      <c r="B192" s="2" t="s">
        <v>17</v>
      </c>
      <c r="C192" s="2" t="s">
        <v>19</v>
      </c>
      <c r="D192" s="2" t="s">
        <v>28</v>
      </c>
      <c r="E192" s="2" t="s">
        <v>32</v>
      </c>
      <c r="F192" s="2" t="s">
        <v>36</v>
      </c>
      <c r="G192" s="3">
        <v>1069717</v>
      </c>
      <c r="H192" s="3">
        <v>870146</v>
      </c>
      <c r="I192" s="2" t="s">
        <v>9</v>
      </c>
      <c r="J192" s="3">
        <f t="shared" si="2"/>
        <v>72512.166666666672</v>
      </c>
    </row>
    <row r="193" spans="1:10" x14ac:dyDescent="0.35">
      <c r="A193" s="2" t="s">
        <v>14</v>
      </c>
      <c r="B193" s="2" t="s">
        <v>16</v>
      </c>
      <c r="C193" s="2" t="s">
        <v>18</v>
      </c>
      <c r="D193" s="2" t="s">
        <v>25</v>
      </c>
      <c r="E193" s="2" t="s">
        <v>33</v>
      </c>
      <c r="F193" s="2" t="s">
        <v>36</v>
      </c>
      <c r="G193" s="3">
        <v>3826664</v>
      </c>
      <c r="H193" s="3">
        <v>2941114</v>
      </c>
      <c r="I193" s="2" t="s">
        <v>40</v>
      </c>
      <c r="J193" s="3">
        <f t="shared" si="2"/>
        <v>245092.83333333334</v>
      </c>
    </row>
    <row r="194" spans="1:10" x14ac:dyDescent="0.35">
      <c r="A194" s="2" t="s">
        <v>11</v>
      </c>
      <c r="B194" s="2" t="s">
        <v>15</v>
      </c>
      <c r="C194" s="2" t="s">
        <v>18</v>
      </c>
      <c r="D194" s="2" t="s">
        <v>24</v>
      </c>
      <c r="E194" s="2" t="s">
        <v>31</v>
      </c>
      <c r="F194" s="2" t="s">
        <v>37</v>
      </c>
      <c r="G194" s="3">
        <v>1004277</v>
      </c>
      <c r="H194" s="3">
        <v>808291</v>
      </c>
      <c r="I194" s="2" t="s">
        <v>11</v>
      </c>
      <c r="J194" s="3">
        <f t="shared" si="2"/>
        <v>67357.583333333328</v>
      </c>
    </row>
    <row r="195" spans="1:10" x14ac:dyDescent="0.35">
      <c r="A195" s="2" t="s">
        <v>12</v>
      </c>
      <c r="B195" s="2" t="s">
        <v>15</v>
      </c>
      <c r="C195" s="2" t="s">
        <v>18</v>
      </c>
      <c r="D195" s="2" t="s">
        <v>23</v>
      </c>
      <c r="E195" s="2" t="s">
        <v>29</v>
      </c>
      <c r="F195" s="2" t="s">
        <v>38</v>
      </c>
      <c r="G195" s="3">
        <v>843070</v>
      </c>
      <c r="H195" s="3">
        <v>642814</v>
      </c>
      <c r="I195" s="2" t="s">
        <v>11</v>
      </c>
      <c r="J195" s="3">
        <f t="shared" ref="J195:J258" si="3">H195/12</f>
        <v>53567.833333333336</v>
      </c>
    </row>
    <row r="196" spans="1:10" x14ac:dyDescent="0.35">
      <c r="A196" s="2" t="s">
        <v>12</v>
      </c>
      <c r="B196" s="2" t="s">
        <v>15</v>
      </c>
      <c r="C196" s="2" t="s">
        <v>18</v>
      </c>
      <c r="D196" s="2" t="s">
        <v>27</v>
      </c>
      <c r="E196" s="2" t="s">
        <v>32</v>
      </c>
      <c r="F196" s="2" t="s">
        <v>37</v>
      </c>
      <c r="G196" s="3">
        <v>615318</v>
      </c>
      <c r="H196" s="3">
        <v>449704</v>
      </c>
      <c r="I196" s="2" t="s">
        <v>11</v>
      </c>
      <c r="J196" s="3">
        <f t="shared" si="3"/>
        <v>37475.333333333336</v>
      </c>
    </row>
    <row r="197" spans="1:10" x14ac:dyDescent="0.35">
      <c r="A197" s="2" t="s">
        <v>9</v>
      </c>
      <c r="B197" s="2" t="s">
        <v>17</v>
      </c>
      <c r="C197" s="2" t="s">
        <v>18</v>
      </c>
      <c r="D197" s="2" t="s">
        <v>21</v>
      </c>
      <c r="E197" s="2" t="s">
        <v>31</v>
      </c>
      <c r="F197" s="2" t="s">
        <v>37</v>
      </c>
      <c r="G197" s="3">
        <v>1161335</v>
      </c>
      <c r="H197" s="3">
        <v>932024</v>
      </c>
      <c r="I197" s="2" t="s">
        <v>9</v>
      </c>
      <c r="J197" s="3">
        <f t="shared" si="3"/>
        <v>77668.666666666672</v>
      </c>
    </row>
    <row r="198" spans="1:10" x14ac:dyDescent="0.35">
      <c r="A198" s="2" t="s">
        <v>12</v>
      </c>
      <c r="B198" s="2" t="s">
        <v>15</v>
      </c>
      <c r="C198" s="2" t="s">
        <v>18</v>
      </c>
      <c r="D198" s="2" t="s">
        <v>24</v>
      </c>
      <c r="E198" s="2" t="s">
        <v>29</v>
      </c>
      <c r="F198" s="2" t="s">
        <v>37</v>
      </c>
      <c r="G198" s="3">
        <v>942027</v>
      </c>
      <c r="H198" s="3">
        <v>750791</v>
      </c>
      <c r="I198" s="2" t="s">
        <v>11</v>
      </c>
      <c r="J198" s="3">
        <f t="shared" si="3"/>
        <v>62565.916666666664</v>
      </c>
    </row>
    <row r="199" spans="1:10" x14ac:dyDescent="0.35">
      <c r="A199" s="2" t="s">
        <v>13</v>
      </c>
      <c r="B199" s="2" t="s">
        <v>17</v>
      </c>
      <c r="C199" s="2" t="s">
        <v>18</v>
      </c>
      <c r="D199" s="2" t="s">
        <v>21</v>
      </c>
      <c r="E199" s="2" t="s">
        <v>32</v>
      </c>
      <c r="F199" s="2" t="s">
        <v>36</v>
      </c>
      <c r="G199" s="3">
        <v>2466806</v>
      </c>
      <c r="H199" s="3">
        <v>1931365</v>
      </c>
      <c r="I199" s="2" t="s">
        <v>9</v>
      </c>
      <c r="J199" s="3">
        <f t="shared" si="3"/>
        <v>160947.08333333334</v>
      </c>
    </row>
    <row r="200" spans="1:10" x14ac:dyDescent="0.35">
      <c r="A200" s="2" t="s">
        <v>9</v>
      </c>
      <c r="B200" s="2" t="s">
        <v>15</v>
      </c>
      <c r="C200" s="2" t="s">
        <v>18</v>
      </c>
      <c r="D200" s="2" t="s">
        <v>24</v>
      </c>
      <c r="E200" s="2" t="s">
        <v>29</v>
      </c>
      <c r="F200" s="2" t="s">
        <v>37</v>
      </c>
      <c r="G200" s="3">
        <v>624235</v>
      </c>
      <c r="H200" s="3">
        <v>476672</v>
      </c>
      <c r="I200" s="2" t="s">
        <v>9</v>
      </c>
      <c r="J200" s="3">
        <f t="shared" si="3"/>
        <v>39722.666666666664</v>
      </c>
    </row>
    <row r="201" spans="1:10" x14ac:dyDescent="0.35">
      <c r="A201" s="2" t="s">
        <v>14</v>
      </c>
      <c r="B201" s="2" t="s">
        <v>16</v>
      </c>
      <c r="C201" s="2" t="s">
        <v>18</v>
      </c>
      <c r="D201" s="2" t="s">
        <v>23</v>
      </c>
      <c r="E201" s="2" t="s">
        <v>31</v>
      </c>
      <c r="F201" s="2" t="s">
        <v>39</v>
      </c>
      <c r="G201" s="3">
        <v>4181245</v>
      </c>
      <c r="H201" s="3">
        <v>3067414</v>
      </c>
      <c r="I201" s="2" t="s">
        <v>40</v>
      </c>
      <c r="J201" s="3">
        <f t="shared" si="3"/>
        <v>255617.83333333334</v>
      </c>
    </row>
    <row r="202" spans="1:10" x14ac:dyDescent="0.35">
      <c r="A202" s="2" t="s">
        <v>10</v>
      </c>
      <c r="B202" s="2" t="s">
        <v>15</v>
      </c>
      <c r="C202" s="2" t="s">
        <v>19</v>
      </c>
      <c r="D202" s="2" t="s">
        <v>23</v>
      </c>
      <c r="E202" s="2" t="s">
        <v>32</v>
      </c>
      <c r="F202" s="2" t="s">
        <v>37</v>
      </c>
      <c r="G202" s="3">
        <v>717399</v>
      </c>
      <c r="H202" s="3">
        <v>557222</v>
      </c>
      <c r="I202" s="2" t="s">
        <v>40</v>
      </c>
      <c r="J202" s="3">
        <f t="shared" si="3"/>
        <v>46435.166666666664</v>
      </c>
    </row>
    <row r="203" spans="1:10" x14ac:dyDescent="0.35">
      <c r="A203" s="2" t="s">
        <v>14</v>
      </c>
      <c r="B203" s="2" t="s">
        <v>16</v>
      </c>
      <c r="C203" s="2" t="s">
        <v>19</v>
      </c>
      <c r="D203" s="2" t="s">
        <v>28</v>
      </c>
      <c r="E203" s="2" t="s">
        <v>33</v>
      </c>
      <c r="F203" s="2" t="s">
        <v>37</v>
      </c>
      <c r="G203" s="3">
        <v>5714156</v>
      </c>
      <c r="H203" s="3">
        <v>4121705</v>
      </c>
      <c r="I203" s="2" t="s">
        <v>40</v>
      </c>
      <c r="J203" s="3">
        <f t="shared" si="3"/>
        <v>343475.41666666669</v>
      </c>
    </row>
    <row r="204" spans="1:10" x14ac:dyDescent="0.35">
      <c r="A204" s="2" t="s">
        <v>13</v>
      </c>
      <c r="B204" s="2" t="s">
        <v>17</v>
      </c>
      <c r="C204" s="2" t="s">
        <v>18</v>
      </c>
      <c r="D204" s="2" t="s">
        <v>27</v>
      </c>
      <c r="E204" s="2" t="s">
        <v>30</v>
      </c>
      <c r="F204" s="2" t="s">
        <v>36</v>
      </c>
      <c r="G204" s="3">
        <v>1379907</v>
      </c>
      <c r="H204" s="3">
        <v>1017176</v>
      </c>
      <c r="I204" s="2" t="s">
        <v>9</v>
      </c>
      <c r="J204" s="3">
        <f t="shared" si="3"/>
        <v>84764.666666666672</v>
      </c>
    </row>
    <row r="205" spans="1:10" x14ac:dyDescent="0.35">
      <c r="A205" s="2" t="s">
        <v>11</v>
      </c>
      <c r="B205" s="2" t="s">
        <v>15</v>
      </c>
      <c r="C205" s="2" t="s">
        <v>19</v>
      </c>
      <c r="D205" s="2" t="s">
        <v>28</v>
      </c>
      <c r="E205" s="2" t="s">
        <v>35</v>
      </c>
      <c r="F205" s="2" t="s">
        <v>38</v>
      </c>
      <c r="G205" s="3">
        <v>778913</v>
      </c>
      <c r="H205" s="3">
        <v>606739</v>
      </c>
      <c r="I205" s="2" t="s">
        <v>11</v>
      </c>
      <c r="J205" s="3">
        <f t="shared" si="3"/>
        <v>50561.583333333336</v>
      </c>
    </row>
    <row r="206" spans="1:10" x14ac:dyDescent="0.35">
      <c r="A206" s="2" t="s">
        <v>12</v>
      </c>
      <c r="B206" s="2" t="s">
        <v>16</v>
      </c>
      <c r="C206" s="2" t="s">
        <v>18</v>
      </c>
      <c r="D206" s="2" t="s">
        <v>21</v>
      </c>
      <c r="E206" s="2" t="s">
        <v>30</v>
      </c>
      <c r="F206" s="2" t="s">
        <v>39</v>
      </c>
      <c r="G206" s="3">
        <v>4040129</v>
      </c>
      <c r="H206" s="3">
        <v>3236360</v>
      </c>
      <c r="I206" s="2" t="s">
        <v>11</v>
      </c>
      <c r="J206" s="3">
        <f t="shared" si="3"/>
        <v>269696.66666666669</v>
      </c>
    </row>
    <row r="207" spans="1:10" x14ac:dyDescent="0.35">
      <c r="A207" s="2" t="s">
        <v>9</v>
      </c>
      <c r="B207" s="2" t="s">
        <v>16</v>
      </c>
      <c r="C207" s="2" t="s">
        <v>18</v>
      </c>
      <c r="D207" s="2" t="s">
        <v>20</v>
      </c>
      <c r="E207" s="2" t="s">
        <v>34</v>
      </c>
      <c r="F207" s="2" t="s">
        <v>39</v>
      </c>
      <c r="G207" s="3">
        <v>2346117</v>
      </c>
      <c r="H207" s="3">
        <v>1729745</v>
      </c>
      <c r="I207" s="2" t="s">
        <v>9</v>
      </c>
      <c r="J207" s="3">
        <f t="shared" si="3"/>
        <v>144145.41666666666</v>
      </c>
    </row>
    <row r="208" spans="1:10" x14ac:dyDescent="0.35">
      <c r="A208" s="2" t="s">
        <v>12</v>
      </c>
      <c r="B208" s="2" t="s">
        <v>17</v>
      </c>
      <c r="C208" s="2" t="s">
        <v>18</v>
      </c>
      <c r="D208" s="2" t="s">
        <v>27</v>
      </c>
      <c r="E208" s="2" t="s">
        <v>32</v>
      </c>
      <c r="F208" s="2" t="s">
        <v>37</v>
      </c>
      <c r="G208" s="3">
        <v>1661036</v>
      </c>
      <c r="H208" s="3">
        <v>1318295</v>
      </c>
      <c r="I208" s="2" t="s">
        <v>11</v>
      </c>
      <c r="J208" s="3">
        <f t="shared" si="3"/>
        <v>109857.91666666667</v>
      </c>
    </row>
    <row r="209" spans="1:10" x14ac:dyDescent="0.35">
      <c r="A209" s="2" t="s">
        <v>12</v>
      </c>
      <c r="B209" s="2" t="s">
        <v>16</v>
      </c>
      <c r="C209" s="2" t="s">
        <v>19</v>
      </c>
      <c r="D209" s="2" t="s">
        <v>21</v>
      </c>
      <c r="E209" s="2" t="s">
        <v>29</v>
      </c>
      <c r="F209" s="2" t="s">
        <v>39</v>
      </c>
      <c r="G209" s="3">
        <v>2636588</v>
      </c>
      <c r="H209" s="3">
        <v>2135598</v>
      </c>
      <c r="I209" s="2" t="s">
        <v>11</v>
      </c>
      <c r="J209" s="3">
        <f t="shared" si="3"/>
        <v>177966.5</v>
      </c>
    </row>
    <row r="210" spans="1:10" x14ac:dyDescent="0.35">
      <c r="A210" s="2" t="s">
        <v>13</v>
      </c>
      <c r="B210" s="2" t="s">
        <v>15</v>
      </c>
      <c r="C210" s="2" t="s">
        <v>18</v>
      </c>
      <c r="D210" s="2" t="s">
        <v>25</v>
      </c>
      <c r="E210" s="2" t="s">
        <v>30</v>
      </c>
      <c r="F210" s="2" t="s">
        <v>36</v>
      </c>
      <c r="G210" s="3">
        <v>926202</v>
      </c>
      <c r="H210" s="3">
        <v>710806</v>
      </c>
      <c r="I210" s="2" t="s">
        <v>9</v>
      </c>
      <c r="J210" s="3">
        <f t="shared" si="3"/>
        <v>59233.833333333336</v>
      </c>
    </row>
    <row r="211" spans="1:10" x14ac:dyDescent="0.35">
      <c r="A211" s="2" t="s">
        <v>10</v>
      </c>
      <c r="B211" s="2" t="s">
        <v>16</v>
      </c>
      <c r="C211" s="2" t="s">
        <v>19</v>
      </c>
      <c r="D211" s="2" t="s">
        <v>21</v>
      </c>
      <c r="E211" s="2" t="s">
        <v>32</v>
      </c>
      <c r="F211" s="2" t="s">
        <v>37</v>
      </c>
      <c r="G211" s="3">
        <v>6491892</v>
      </c>
      <c r="H211" s="3">
        <v>4992743</v>
      </c>
      <c r="I211" s="2" t="s">
        <v>40</v>
      </c>
      <c r="J211" s="3">
        <f t="shared" si="3"/>
        <v>416061.91666666669</v>
      </c>
    </row>
    <row r="212" spans="1:10" x14ac:dyDescent="0.35">
      <c r="A212" s="2" t="s">
        <v>10</v>
      </c>
      <c r="B212" s="2" t="s">
        <v>15</v>
      </c>
      <c r="C212" s="2" t="s">
        <v>18</v>
      </c>
      <c r="D212" s="2" t="s">
        <v>21</v>
      </c>
      <c r="E212" s="2" t="s">
        <v>34</v>
      </c>
      <c r="F212" s="2" t="s">
        <v>38</v>
      </c>
      <c r="G212" s="3">
        <v>1464962</v>
      </c>
      <c r="H212" s="3">
        <v>1115862</v>
      </c>
      <c r="I212" s="2" t="s">
        <v>40</v>
      </c>
      <c r="J212" s="3">
        <f t="shared" si="3"/>
        <v>92988.5</v>
      </c>
    </row>
    <row r="213" spans="1:10" x14ac:dyDescent="0.35">
      <c r="A213" s="2" t="s">
        <v>13</v>
      </c>
      <c r="B213" s="2" t="s">
        <v>16</v>
      </c>
      <c r="C213" s="2" t="s">
        <v>19</v>
      </c>
      <c r="D213" s="2" t="s">
        <v>21</v>
      </c>
      <c r="E213" s="2" t="s">
        <v>32</v>
      </c>
      <c r="F213" s="2" t="s">
        <v>37</v>
      </c>
      <c r="G213" s="3">
        <v>4255130</v>
      </c>
      <c r="H213" s="3">
        <v>3284170</v>
      </c>
      <c r="I213" s="2" t="s">
        <v>9</v>
      </c>
      <c r="J213" s="3">
        <f t="shared" si="3"/>
        <v>273680.83333333331</v>
      </c>
    </row>
    <row r="214" spans="1:10" x14ac:dyDescent="0.35">
      <c r="A214" s="2" t="s">
        <v>13</v>
      </c>
      <c r="B214" s="2" t="s">
        <v>17</v>
      </c>
      <c r="C214" s="2" t="s">
        <v>18</v>
      </c>
      <c r="D214" s="2" t="s">
        <v>28</v>
      </c>
      <c r="E214" s="2" t="s">
        <v>32</v>
      </c>
      <c r="F214" s="2" t="s">
        <v>38</v>
      </c>
      <c r="G214" s="3">
        <v>2483195</v>
      </c>
      <c r="H214" s="3">
        <v>1945446</v>
      </c>
      <c r="I214" s="2" t="s">
        <v>9</v>
      </c>
      <c r="J214" s="3">
        <f t="shared" si="3"/>
        <v>162120.5</v>
      </c>
    </row>
    <row r="215" spans="1:10" x14ac:dyDescent="0.35">
      <c r="A215" s="2" t="s">
        <v>12</v>
      </c>
      <c r="B215" s="2" t="s">
        <v>15</v>
      </c>
      <c r="C215" s="2" t="s">
        <v>18</v>
      </c>
      <c r="D215" s="2" t="s">
        <v>25</v>
      </c>
      <c r="E215" s="2" t="s">
        <v>33</v>
      </c>
      <c r="F215" s="2" t="s">
        <v>37</v>
      </c>
      <c r="G215" s="3">
        <v>1021479</v>
      </c>
      <c r="H215" s="3">
        <v>792481</v>
      </c>
      <c r="I215" s="2" t="s">
        <v>11</v>
      </c>
      <c r="J215" s="3">
        <f t="shared" si="3"/>
        <v>66040.083333333328</v>
      </c>
    </row>
    <row r="216" spans="1:10" x14ac:dyDescent="0.35">
      <c r="A216" s="2" t="s">
        <v>12</v>
      </c>
      <c r="B216" s="2" t="s">
        <v>16</v>
      </c>
      <c r="C216" s="2" t="s">
        <v>19</v>
      </c>
      <c r="D216" s="2" t="s">
        <v>24</v>
      </c>
      <c r="E216" s="2" t="s">
        <v>32</v>
      </c>
      <c r="F216" s="2" t="s">
        <v>38</v>
      </c>
      <c r="G216" s="3">
        <v>5229868</v>
      </c>
      <c r="H216" s="3">
        <v>4084582</v>
      </c>
      <c r="I216" s="2" t="s">
        <v>11</v>
      </c>
      <c r="J216" s="3">
        <f t="shared" si="3"/>
        <v>340381.83333333331</v>
      </c>
    </row>
    <row r="217" spans="1:10" x14ac:dyDescent="0.35">
      <c r="A217" s="2" t="s">
        <v>13</v>
      </c>
      <c r="B217" s="2" t="s">
        <v>17</v>
      </c>
      <c r="C217" s="2" t="s">
        <v>18</v>
      </c>
      <c r="D217" s="2" t="s">
        <v>27</v>
      </c>
      <c r="E217" s="2" t="s">
        <v>32</v>
      </c>
      <c r="F217" s="2" t="s">
        <v>36</v>
      </c>
      <c r="G217" s="3">
        <v>2004465</v>
      </c>
      <c r="H217" s="3">
        <v>1589391</v>
      </c>
      <c r="I217" s="2" t="s">
        <v>9</v>
      </c>
      <c r="J217" s="3">
        <f t="shared" si="3"/>
        <v>132449.25</v>
      </c>
    </row>
    <row r="218" spans="1:10" x14ac:dyDescent="0.35">
      <c r="A218" s="2" t="s">
        <v>13</v>
      </c>
      <c r="B218" s="2" t="s">
        <v>15</v>
      </c>
      <c r="C218" s="2" t="s">
        <v>18</v>
      </c>
      <c r="D218" s="2" t="s">
        <v>20</v>
      </c>
      <c r="E218" s="2" t="s">
        <v>33</v>
      </c>
      <c r="F218" s="2" t="s">
        <v>37</v>
      </c>
      <c r="G218" s="3">
        <v>931751</v>
      </c>
      <c r="H218" s="3">
        <v>656033</v>
      </c>
      <c r="I218" s="2" t="s">
        <v>9</v>
      </c>
      <c r="J218" s="3">
        <f t="shared" si="3"/>
        <v>54669.416666666664</v>
      </c>
    </row>
    <row r="219" spans="1:10" x14ac:dyDescent="0.35">
      <c r="A219" s="2" t="s">
        <v>10</v>
      </c>
      <c r="B219" s="2" t="s">
        <v>16</v>
      </c>
      <c r="C219" s="2" t="s">
        <v>18</v>
      </c>
      <c r="D219" s="2" t="s">
        <v>21</v>
      </c>
      <c r="E219" s="2" t="s">
        <v>31</v>
      </c>
      <c r="F219" s="2" t="s">
        <v>38</v>
      </c>
      <c r="G219" s="3">
        <v>5025201</v>
      </c>
      <c r="H219" s="3">
        <v>3581751</v>
      </c>
      <c r="I219" s="2" t="s">
        <v>40</v>
      </c>
      <c r="J219" s="3">
        <f t="shared" si="3"/>
        <v>298479.25</v>
      </c>
    </row>
    <row r="220" spans="1:10" x14ac:dyDescent="0.35">
      <c r="A220" s="2" t="s">
        <v>10</v>
      </c>
      <c r="B220" s="2" t="s">
        <v>17</v>
      </c>
      <c r="C220" s="2" t="s">
        <v>19</v>
      </c>
      <c r="D220" s="2" t="s">
        <v>20</v>
      </c>
      <c r="E220" s="2" t="s">
        <v>32</v>
      </c>
      <c r="F220" s="2" t="s">
        <v>36</v>
      </c>
      <c r="G220" s="3">
        <v>2176202</v>
      </c>
      <c r="H220" s="3">
        <v>1578518</v>
      </c>
      <c r="I220" s="2" t="s">
        <v>40</v>
      </c>
      <c r="J220" s="3">
        <f t="shared" si="3"/>
        <v>131543.16666666666</v>
      </c>
    </row>
    <row r="221" spans="1:10" x14ac:dyDescent="0.35">
      <c r="A221" s="2" t="s">
        <v>10</v>
      </c>
      <c r="B221" s="2" t="s">
        <v>17</v>
      </c>
      <c r="C221" s="2" t="s">
        <v>18</v>
      </c>
      <c r="D221" s="2" t="s">
        <v>26</v>
      </c>
      <c r="E221" s="2" t="s">
        <v>35</v>
      </c>
      <c r="F221" s="2" t="s">
        <v>39</v>
      </c>
      <c r="G221" s="3">
        <v>2787416</v>
      </c>
      <c r="H221" s="3">
        <v>2031147</v>
      </c>
      <c r="I221" s="2" t="s">
        <v>40</v>
      </c>
      <c r="J221" s="3">
        <f t="shared" si="3"/>
        <v>169262.25</v>
      </c>
    </row>
    <row r="222" spans="1:10" x14ac:dyDescent="0.35">
      <c r="A222" s="2" t="s">
        <v>13</v>
      </c>
      <c r="B222" s="2" t="s">
        <v>16</v>
      </c>
      <c r="C222" s="2" t="s">
        <v>18</v>
      </c>
      <c r="D222" s="2" t="s">
        <v>23</v>
      </c>
      <c r="E222" s="2" t="s">
        <v>30</v>
      </c>
      <c r="F222" s="2" t="s">
        <v>38</v>
      </c>
      <c r="G222" s="3">
        <v>3160734</v>
      </c>
      <c r="H222" s="3">
        <v>2439956</v>
      </c>
      <c r="I222" s="2" t="s">
        <v>9</v>
      </c>
      <c r="J222" s="3">
        <f t="shared" si="3"/>
        <v>203329.66666666666</v>
      </c>
    </row>
    <row r="223" spans="1:10" x14ac:dyDescent="0.35">
      <c r="A223" s="2" t="s">
        <v>10</v>
      </c>
      <c r="B223" s="2" t="s">
        <v>15</v>
      </c>
      <c r="C223" s="2" t="s">
        <v>19</v>
      </c>
      <c r="D223" s="2" t="s">
        <v>25</v>
      </c>
      <c r="E223" s="2" t="s">
        <v>30</v>
      </c>
      <c r="F223" s="2" t="s">
        <v>36</v>
      </c>
      <c r="G223" s="3">
        <v>1403515</v>
      </c>
      <c r="H223" s="3">
        <v>1063237</v>
      </c>
      <c r="I223" s="2" t="s">
        <v>40</v>
      </c>
      <c r="J223" s="3">
        <f t="shared" si="3"/>
        <v>88603.083333333328</v>
      </c>
    </row>
    <row r="224" spans="1:10" x14ac:dyDescent="0.35">
      <c r="A224" s="2" t="s">
        <v>12</v>
      </c>
      <c r="B224" s="2" t="s">
        <v>17</v>
      </c>
      <c r="C224" s="2" t="s">
        <v>18</v>
      </c>
      <c r="D224" s="2" t="s">
        <v>21</v>
      </c>
      <c r="E224" s="2" t="s">
        <v>34</v>
      </c>
      <c r="F224" s="2" t="s">
        <v>38</v>
      </c>
      <c r="G224" s="3">
        <v>1986934</v>
      </c>
      <c r="H224" s="3">
        <v>1612526</v>
      </c>
      <c r="I224" s="2" t="s">
        <v>11</v>
      </c>
      <c r="J224" s="3">
        <f t="shared" si="3"/>
        <v>134377.16666666666</v>
      </c>
    </row>
    <row r="225" spans="1:10" x14ac:dyDescent="0.35">
      <c r="A225" s="2" t="s">
        <v>12</v>
      </c>
      <c r="B225" s="2" t="s">
        <v>15</v>
      </c>
      <c r="C225" s="2" t="s">
        <v>18</v>
      </c>
      <c r="D225" s="2" t="s">
        <v>20</v>
      </c>
      <c r="E225" s="2" t="s">
        <v>33</v>
      </c>
      <c r="F225" s="2" t="s">
        <v>38</v>
      </c>
      <c r="G225" s="3">
        <v>911759</v>
      </c>
      <c r="H225" s="3">
        <v>666414</v>
      </c>
      <c r="I225" s="2" t="s">
        <v>11</v>
      </c>
      <c r="J225" s="3">
        <f t="shared" si="3"/>
        <v>55534.5</v>
      </c>
    </row>
    <row r="226" spans="1:10" x14ac:dyDescent="0.35">
      <c r="A226" s="2" t="s">
        <v>13</v>
      </c>
      <c r="B226" s="2" t="s">
        <v>15</v>
      </c>
      <c r="C226" s="2" t="s">
        <v>18</v>
      </c>
      <c r="D226" s="2" t="s">
        <v>24</v>
      </c>
      <c r="E226" s="2" t="s">
        <v>31</v>
      </c>
      <c r="F226" s="2" t="s">
        <v>37</v>
      </c>
      <c r="G226" s="3">
        <v>1163672</v>
      </c>
      <c r="H226" s="3">
        <v>856448</v>
      </c>
      <c r="I226" s="2" t="s">
        <v>9</v>
      </c>
      <c r="J226" s="3">
        <f t="shared" si="3"/>
        <v>71370.666666666672</v>
      </c>
    </row>
    <row r="227" spans="1:10" x14ac:dyDescent="0.35">
      <c r="A227" s="2" t="s">
        <v>14</v>
      </c>
      <c r="B227" s="2" t="s">
        <v>15</v>
      </c>
      <c r="C227" s="2" t="s">
        <v>19</v>
      </c>
      <c r="D227" s="2" t="s">
        <v>20</v>
      </c>
      <c r="E227" s="2" t="s">
        <v>29</v>
      </c>
      <c r="F227" s="2" t="s">
        <v>38</v>
      </c>
      <c r="G227" s="3">
        <v>1064110</v>
      </c>
      <c r="H227" s="3">
        <v>860062</v>
      </c>
      <c r="I227" s="2" t="s">
        <v>40</v>
      </c>
      <c r="J227" s="3">
        <f t="shared" si="3"/>
        <v>71671.833333333328</v>
      </c>
    </row>
    <row r="228" spans="1:10" x14ac:dyDescent="0.35">
      <c r="A228" s="2" t="s">
        <v>11</v>
      </c>
      <c r="B228" s="2" t="s">
        <v>17</v>
      </c>
      <c r="C228" s="2" t="s">
        <v>19</v>
      </c>
      <c r="D228" s="2" t="s">
        <v>25</v>
      </c>
      <c r="E228" s="2" t="s">
        <v>30</v>
      </c>
      <c r="F228" s="2" t="s">
        <v>38</v>
      </c>
      <c r="G228" s="3">
        <v>1863835</v>
      </c>
      <c r="H228" s="3">
        <v>1333579</v>
      </c>
      <c r="I228" s="2" t="s">
        <v>11</v>
      </c>
      <c r="J228" s="3">
        <f t="shared" si="3"/>
        <v>111131.58333333333</v>
      </c>
    </row>
    <row r="229" spans="1:10" x14ac:dyDescent="0.35">
      <c r="A229" s="2" t="s">
        <v>13</v>
      </c>
      <c r="B229" s="2" t="s">
        <v>15</v>
      </c>
      <c r="C229" s="2" t="s">
        <v>19</v>
      </c>
      <c r="D229" s="2" t="s">
        <v>28</v>
      </c>
      <c r="E229" s="2" t="s">
        <v>31</v>
      </c>
      <c r="F229" s="2" t="s">
        <v>38</v>
      </c>
      <c r="G229" s="3">
        <v>1158709</v>
      </c>
      <c r="H229" s="3">
        <v>818792</v>
      </c>
      <c r="I229" s="2" t="s">
        <v>9</v>
      </c>
      <c r="J229" s="3">
        <f t="shared" si="3"/>
        <v>68232.666666666672</v>
      </c>
    </row>
    <row r="230" spans="1:10" x14ac:dyDescent="0.35">
      <c r="A230" s="2" t="s">
        <v>9</v>
      </c>
      <c r="B230" s="2" t="s">
        <v>16</v>
      </c>
      <c r="C230" s="2" t="s">
        <v>18</v>
      </c>
      <c r="D230" s="2" t="s">
        <v>27</v>
      </c>
      <c r="E230" s="2" t="s">
        <v>32</v>
      </c>
      <c r="F230" s="2" t="s">
        <v>38</v>
      </c>
      <c r="G230" s="3">
        <v>2410850</v>
      </c>
      <c r="H230" s="3">
        <v>1688065</v>
      </c>
      <c r="I230" s="2" t="s">
        <v>9</v>
      </c>
      <c r="J230" s="3">
        <f t="shared" si="3"/>
        <v>140672.08333333334</v>
      </c>
    </row>
    <row r="231" spans="1:10" x14ac:dyDescent="0.35">
      <c r="A231" s="2" t="s">
        <v>11</v>
      </c>
      <c r="B231" s="2" t="s">
        <v>16</v>
      </c>
      <c r="C231" s="2" t="s">
        <v>18</v>
      </c>
      <c r="D231" s="2" t="s">
        <v>28</v>
      </c>
      <c r="E231" s="2" t="s">
        <v>35</v>
      </c>
      <c r="F231" s="2" t="s">
        <v>39</v>
      </c>
      <c r="G231" s="3">
        <v>3820840</v>
      </c>
      <c r="H231" s="3">
        <v>3096088</v>
      </c>
      <c r="I231" s="2" t="s">
        <v>11</v>
      </c>
      <c r="J231" s="3">
        <f t="shared" si="3"/>
        <v>258007.33333333334</v>
      </c>
    </row>
    <row r="232" spans="1:10" x14ac:dyDescent="0.35">
      <c r="A232" s="2" t="s">
        <v>10</v>
      </c>
      <c r="B232" s="2" t="s">
        <v>17</v>
      </c>
      <c r="C232" s="2" t="s">
        <v>18</v>
      </c>
      <c r="D232" s="2" t="s">
        <v>23</v>
      </c>
      <c r="E232" s="2" t="s">
        <v>30</v>
      </c>
      <c r="F232" s="2" t="s">
        <v>36</v>
      </c>
      <c r="G232" s="3">
        <v>1918906</v>
      </c>
      <c r="H232" s="3">
        <v>1464399</v>
      </c>
      <c r="I232" s="2" t="s">
        <v>40</v>
      </c>
      <c r="J232" s="3">
        <f t="shared" si="3"/>
        <v>122033.25</v>
      </c>
    </row>
    <row r="233" spans="1:10" x14ac:dyDescent="0.35">
      <c r="A233" s="2" t="s">
        <v>9</v>
      </c>
      <c r="B233" s="2" t="s">
        <v>15</v>
      </c>
      <c r="C233" s="2" t="s">
        <v>18</v>
      </c>
      <c r="D233" s="2" t="s">
        <v>23</v>
      </c>
      <c r="E233" s="2" t="s">
        <v>32</v>
      </c>
      <c r="F233" s="2" t="s">
        <v>36</v>
      </c>
      <c r="G233" s="3">
        <v>500050</v>
      </c>
      <c r="H233" s="3">
        <v>357125</v>
      </c>
      <c r="I233" s="2" t="s">
        <v>9</v>
      </c>
      <c r="J233" s="3">
        <f t="shared" si="3"/>
        <v>29760.416666666668</v>
      </c>
    </row>
    <row r="234" spans="1:10" x14ac:dyDescent="0.35">
      <c r="A234" s="2" t="s">
        <v>9</v>
      </c>
      <c r="B234" s="2" t="s">
        <v>16</v>
      </c>
      <c r="C234" s="2" t="s">
        <v>18</v>
      </c>
      <c r="D234" s="2" t="s">
        <v>27</v>
      </c>
      <c r="E234" s="2" t="s">
        <v>33</v>
      </c>
      <c r="F234" s="2" t="s">
        <v>39</v>
      </c>
      <c r="G234" s="3">
        <v>2360787</v>
      </c>
      <c r="H234" s="3">
        <v>1741682</v>
      </c>
      <c r="I234" s="2" t="s">
        <v>9</v>
      </c>
      <c r="J234" s="3">
        <f t="shared" si="3"/>
        <v>145140.16666666666</v>
      </c>
    </row>
    <row r="235" spans="1:10" x14ac:dyDescent="0.35">
      <c r="A235" s="2" t="s">
        <v>14</v>
      </c>
      <c r="B235" s="2" t="s">
        <v>17</v>
      </c>
      <c r="C235" s="2" t="s">
        <v>18</v>
      </c>
      <c r="D235" s="2" t="s">
        <v>21</v>
      </c>
      <c r="E235" s="2" t="s">
        <v>30</v>
      </c>
      <c r="F235" s="2" t="s">
        <v>38</v>
      </c>
      <c r="G235" s="3">
        <v>2739805</v>
      </c>
      <c r="H235" s="3">
        <v>1980206</v>
      </c>
      <c r="I235" s="2" t="s">
        <v>40</v>
      </c>
      <c r="J235" s="3">
        <f t="shared" si="3"/>
        <v>165017.16666666666</v>
      </c>
    </row>
    <row r="236" spans="1:10" x14ac:dyDescent="0.35">
      <c r="A236" s="2" t="s">
        <v>14</v>
      </c>
      <c r="B236" s="2" t="s">
        <v>17</v>
      </c>
      <c r="C236" s="2" t="s">
        <v>19</v>
      </c>
      <c r="D236" s="2" t="s">
        <v>23</v>
      </c>
      <c r="E236" s="2" t="s">
        <v>31</v>
      </c>
      <c r="F236" s="2" t="s">
        <v>37</v>
      </c>
      <c r="G236" s="3">
        <v>1560035</v>
      </c>
      <c r="H236" s="3">
        <v>1224079</v>
      </c>
      <c r="I236" s="2" t="s">
        <v>40</v>
      </c>
      <c r="J236" s="3">
        <f t="shared" si="3"/>
        <v>102006.58333333333</v>
      </c>
    </row>
    <row r="237" spans="1:10" x14ac:dyDescent="0.35">
      <c r="A237" s="2" t="s">
        <v>14</v>
      </c>
      <c r="B237" s="2" t="s">
        <v>16</v>
      </c>
      <c r="C237" s="2" t="s">
        <v>19</v>
      </c>
      <c r="D237" s="2" t="s">
        <v>28</v>
      </c>
      <c r="E237" s="2" t="s">
        <v>34</v>
      </c>
      <c r="F237" s="2" t="s">
        <v>38</v>
      </c>
      <c r="G237" s="3">
        <v>6900144</v>
      </c>
      <c r="H237" s="3">
        <v>5529141</v>
      </c>
      <c r="I237" s="2" t="s">
        <v>40</v>
      </c>
      <c r="J237" s="3">
        <f t="shared" si="3"/>
        <v>460761.75</v>
      </c>
    </row>
    <row r="238" spans="1:10" x14ac:dyDescent="0.35">
      <c r="A238" s="2" t="s">
        <v>11</v>
      </c>
      <c r="B238" s="2" t="s">
        <v>17</v>
      </c>
      <c r="C238" s="2" t="s">
        <v>19</v>
      </c>
      <c r="D238" s="2" t="s">
        <v>23</v>
      </c>
      <c r="E238" s="2" t="s">
        <v>30</v>
      </c>
      <c r="F238" s="2" t="s">
        <v>37</v>
      </c>
      <c r="G238" s="3">
        <v>1345585</v>
      </c>
      <c r="H238" s="3">
        <v>979356</v>
      </c>
      <c r="I238" s="2" t="s">
        <v>11</v>
      </c>
      <c r="J238" s="3">
        <f t="shared" si="3"/>
        <v>81613</v>
      </c>
    </row>
    <row r="239" spans="1:10" x14ac:dyDescent="0.35">
      <c r="A239" s="2" t="s">
        <v>11</v>
      </c>
      <c r="B239" s="2" t="s">
        <v>17</v>
      </c>
      <c r="C239" s="2" t="s">
        <v>19</v>
      </c>
      <c r="D239" s="2" t="s">
        <v>20</v>
      </c>
      <c r="E239" s="2" t="s">
        <v>29</v>
      </c>
      <c r="F239" s="2" t="s">
        <v>38</v>
      </c>
      <c r="G239" s="3">
        <v>2038531</v>
      </c>
      <c r="H239" s="3">
        <v>1491112</v>
      </c>
      <c r="I239" s="2" t="s">
        <v>11</v>
      </c>
      <c r="J239" s="3">
        <f t="shared" si="3"/>
        <v>124259.33333333333</v>
      </c>
    </row>
    <row r="240" spans="1:10" x14ac:dyDescent="0.35">
      <c r="A240" s="2" t="s">
        <v>9</v>
      </c>
      <c r="B240" s="2" t="s">
        <v>17</v>
      </c>
      <c r="C240" s="2" t="s">
        <v>19</v>
      </c>
      <c r="D240" s="2" t="s">
        <v>26</v>
      </c>
      <c r="E240" s="2" t="s">
        <v>31</v>
      </c>
      <c r="F240" s="2" t="s">
        <v>39</v>
      </c>
      <c r="G240" s="3">
        <v>1650391</v>
      </c>
      <c r="H240" s="3">
        <v>1263882</v>
      </c>
      <c r="I240" s="2" t="s">
        <v>9</v>
      </c>
      <c r="J240" s="3">
        <f t="shared" si="3"/>
        <v>105323.5</v>
      </c>
    </row>
    <row r="241" spans="1:10" x14ac:dyDescent="0.35">
      <c r="A241" s="2" t="s">
        <v>14</v>
      </c>
      <c r="B241" s="2" t="s">
        <v>16</v>
      </c>
      <c r="C241" s="2" t="s">
        <v>18</v>
      </c>
      <c r="D241" s="2" t="s">
        <v>28</v>
      </c>
      <c r="E241" s="2" t="s">
        <v>30</v>
      </c>
      <c r="F241" s="2" t="s">
        <v>36</v>
      </c>
      <c r="G241" s="3">
        <v>6415680</v>
      </c>
      <c r="H241" s="3">
        <v>5022459</v>
      </c>
      <c r="I241" s="2" t="s">
        <v>40</v>
      </c>
      <c r="J241" s="3">
        <f t="shared" si="3"/>
        <v>418538.25</v>
      </c>
    </row>
    <row r="242" spans="1:10" x14ac:dyDescent="0.35">
      <c r="A242" s="2" t="s">
        <v>13</v>
      </c>
      <c r="B242" s="2" t="s">
        <v>17</v>
      </c>
      <c r="C242" s="2" t="s">
        <v>18</v>
      </c>
      <c r="D242" s="2" t="s">
        <v>26</v>
      </c>
      <c r="E242" s="2" t="s">
        <v>29</v>
      </c>
      <c r="F242" s="2" t="s">
        <v>37</v>
      </c>
      <c r="G242" s="3">
        <v>2290085</v>
      </c>
      <c r="H242" s="3">
        <v>1672267</v>
      </c>
      <c r="I242" s="2" t="s">
        <v>9</v>
      </c>
      <c r="J242" s="3">
        <f t="shared" si="3"/>
        <v>139355.58333333334</v>
      </c>
    </row>
    <row r="243" spans="1:10" x14ac:dyDescent="0.35">
      <c r="A243" s="2" t="s">
        <v>14</v>
      </c>
      <c r="B243" s="2" t="s">
        <v>15</v>
      </c>
      <c r="C243" s="2" t="s">
        <v>18</v>
      </c>
      <c r="D243" s="2" t="s">
        <v>24</v>
      </c>
      <c r="E243" s="2" t="s">
        <v>31</v>
      </c>
      <c r="F243" s="2" t="s">
        <v>38</v>
      </c>
      <c r="G243" s="3">
        <v>973943</v>
      </c>
      <c r="H243" s="3">
        <v>704948</v>
      </c>
      <c r="I243" s="2" t="s">
        <v>40</v>
      </c>
      <c r="J243" s="3">
        <f t="shared" si="3"/>
        <v>58745.666666666664</v>
      </c>
    </row>
    <row r="244" spans="1:10" x14ac:dyDescent="0.35">
      <c r="A244" s="2" t="s">
        <v>14</v>
      </c>
      <c r="B244" s="2" t="s">
        <v>16</v>
      </c>
      <c r="C244" s="2" t="s">
        <v>18</v>
      </c>
      <c r="D244" s="2" t="s">
        <v>27</v>
      </c>
      <c r="E244" s="2" t="s">
        <v>29</v>
      </c>
      <c r="F244" s="2" t="s">
        <v>36</v>
      </c>
      <c r="G244" s="3">
        <v>4964057</v>
      </c>
      <c r="H244" s="3">
        <v>3743212</v>
      </c>
      <c r="I244" s="2" t="s">
        <v>40</v>
      </c>
      <c r="J244" s="3">
        <f t="shared" si="3"/>
        <v>311934.33333333331</v>
      </c>
    </row>
    <row r="245" spans="1:10" x14ac:dyDescent="0.35">
      <c r="A245" s="2" t="s">
        <v>13</v>
      </c>
      <c r="B245" s="2" t="s">
        <v>15</v>
      </c>
      <c r="C245" s="2" t="s">
        <v>18</v>
      </c>
      <c r="D245" s="2" t="s">
        <v>25</v>
      </c>
      <c r="E245" s="2" t="s">
        <v>30</v>
      </c>
      <c r="F245" s="2" t="s">
        <v>39</v>
      </c>
      <c r="G245" s="3">
        <v>1154536</v>
      </c>
      <c r="H245" s="3">
        <v>888166</v>
      </c>
      <c r="I245" s="2" t="s">
        <v>9</v>
      </c>
      <c r="J245" s="3">
        <f t="shared" si="3"/>
        <v>74013.833333333328</v>
      </c>
    </row>
    <row r="246" spans="1:10" x14ac:dyDescent="0.35">
      <c r="A246" s="2" t="s">
        <v>14</v>
      </c>
      <c r="B246" s="2" t="s">
        <v>17</v>
      </c>
      <c r="C246" s="2" t="s">
        <v>18</v>
      </c>
      <c r="D246" s="2" t="s">
        <v>24</v>
      </c>
      <c r="E246" s="2" t="s">
        <v>31</v>
      </c>
      <c r="F246" s="2" t="s">
        <v>39</v>
      </c>
      <c r="G246" s="3">
        <v>2999667</v>
      </c>
      <c r="H246" s="3">
        <v>2350938</v>
      </c>
      <c r="I246" s="2" t="s">
        <v>40</v>
      </c>
      <c r="J246" s="3">
        <f t="shared" si="3"/>
        <v>195911.5</v>
      </c>
    </row>
    <row r="247" spans="1:10" x14ac:dyDescent="0.35">
      <c r="A247" s="2" t="s">
        <v>13</v>
      </c>
      <c r="B247" s="2" t="s">
        <v>16</v>
      </c>
      <c r="C247" s="2" t="s">
        <v>19</v>
      </c>
      <c r="D247" s="2" t="s">
        <v>26</v>
      </c>
      <c r="E247" s="2" t="s">
        <v>32</v>
      </c>
      <c r="F247" s="2" t="s">
        <v>36</v>
      </c>
      <c r="G247" s="3">
        <v>3343487</v>
      </c>
      <c r="H247" s="3">
        <v>2637448</v>
      </c>
      <c r="I247" s="2" t="s">
        <v>9</v>
      </c>
      <c r="J247" s="3">
        <f t="shared" si="3"/>
        <v>219787.33333333334</v>
      </c>
    </row>
    <row r="248" spans="1:10" x14ac:dyDescent="0.35">
      <c r="A248" s="2" t="s">
        <v>9</v>
      </c>
      <c r="B248" s="2" t="s">
        <v>16</v>
      </c>
      <c r="C248" s="2" t="s">
        <v>18</v>
      </c>
      <c r="D248" s="2" t="s">
        <v>28</v>
      </c>
      <c r="E248" s="2" t="s">
        <v>31</v>
      </c>
      <c r="F248" s="2" t="s">
        <v>37</v>
      </c>
      <c r="G248" s="3">
        <v>1950559</v>
      </c>
      <c r="H248" s="3">
        <v>1501853</v>
      </c>
      <c r="I248" s="2" t="s">
        <v>9</v>
      </c>
      <c r="J248" s="3">
        <f t="shared" si="3"/>
        <v>125154.41666666667</v>
      </c>
    </row>
    <row r="249" spans="1:10" x14ac:dyDescent="0.35">
      <c r="A249" s="2" t="s">
        <v>10</v>
      </c>
      <c r="B249" s="2" t="s">
        <v>15</v>
      </c>
      <c r="C249" s="2" t="s">
        <v>18</v>
      </c>
      <c r="D249" s="2" t="s">
        <v>22</v>
      </c>
      <c r="E249" s="2" t="s">
        <v>32</v>
      </c>
      <c r="F249" s="2" t="s">
        <v>37</v>
      </c>
      <c r="G249" s="3">
        <v>904242</v>
      </c>
      <c r="H249" s="3">
        <v>732450</v>
      </c>
      <c r="I249" s="2" t="s">
        <v>40</v>
      </c>
      <c r="J249" s="3">
        <f t="shared" si="3"/>
        <v>61037.5</v>
      </c>
    </row>
    <row r="250" spans="1:10" x14ac:dyDescent="0.35">
      <c r="A250" s="2" t="s">
        <v>9</v>
      </c>
      <c r="B250" s="2" t="s">
        <v>17</v>
      </c>
      <c r="C250" s="2" t="s">
        <v>19</v>
      </c>
      <c r="D250" s="2" t="s">
        <v>23</v>
      </c>
      <c r="E250" s="2" t="s">
        <v>34</v>
      </c>
      <c r="F250" s="2" t="s">
        <v>37</v>
      </c>
      <c r="G250" s="3">
        <v>1610267</v>
      </c>
      <c r="H250" s="3">
        <v>1287701</v>
      </c>
      <c r="I250" s="2" t="s">
        <v>9</v>
      </c>
      <c r="J250" s="3">
        <f t="shared" si="3"/>
        <v>107308.41666666667</v>
      </c>
    </row>
    <row r="251" spans="1:10" x14ac:dyDescent="0.35">
      <c r="A251" s="2" t="s">
        <v>13</v>
      </c>
      <c r="B251" s="2" t="s">
        <v>16</v>
      </c>
      <c r="C251" s="2" t="s">
        <v>19</v>
      </c>
      <c r="D251" s="2" t="s">
        <v>27</v>
      </c>
      <c r="E251" s="2" t="s">
        <v>29</v>
      </c>
      <c r="F251" s="2" t="s">
        <v>36</v>
      </c>
      <c r="G251" s="3">
        <v>3991065</v>
      </c>
      <c r="H251" s="3">
        <v>2846048</v>
      </c>
      <c r="I251" s="2" t="s">
        <v>9</v>
      </c>
      <c r="J251" s="3">
        <f t="shared" si="3"/>
        <v>237170.66666666666</v>
      </c>
    </row>
    <row r="252" spans="1:10" x14ac:dyDescent="0.35">
      <c r="A252" s="2" t="s">
        <v>12</v>
      </c>
      <c r="B252" s="2" t="s">
        <v>17</v>
      </c>
      <c r="C252" s="2" t="s">
        <v>19</v>
      </c>
      <c r="D252" s="2" t="s">
        <v>24</v>
      </c>
      <c r="E252" s="2" t="s">
        <v>29</v>
      </c>
      <c r="F252" s="2" t="s">
        <v>38</v>
      </c>
      <c r="G252" s="3">
        <v>1655485</v>
      </c>
      <c r="H252" s="3">
        <v>1244924</v>
      </c>
      <c r="I252" s="2" t="s">
        <v>11</v>
      </c>
      <c r="J252" s="3">
        <f t="shared" si="3"/>
        <v>103743.66666666667</v>
      </c>
    </row>
    <row r="253" spans="1:10" x14ac:dyDescent="0.35">
      <c r="A253" s="2" t="s">
        <v>14</v>
      </c>
      <c r="B253" s="2" t="s">
        <v>16</v>
      </c>
      <c r="C253" s="2" t="s">
        <v>18</v>
      </c>
      <c r="D253" s="2" t="s">
        <v>27</v>
      </c>
      <c r="E253" s="2" t="s">
        <v>34</v>
      </c>
      <c r="F253" s="2" t="s">
        <v>37</v>
      </c>
      <c r="G253" s="3">
        <v>3104329</v>
      </c>
      <c r="H253" s="3">
        <v>2506020</v>
      </c>
      <c r="I253" s="2" t="s">
        <v>40</v>
      </c>
      <c r="J253" s="3">
        <f t="shared" si="3"/>
        <v>208835</v>
      </c>
    </row>
    <row r="254" spans="1:10" x14ac:dyDescent="0.35">
      <c r="A254" s="2" t="s">
        <v>12</v>
      </c>
      <c r="B254" s="2" t="s">
        <v>15</v>
      </c>
      <c r="C254" s="2" t="s">
        <v>18</v>
      </c>
      <c r="D254" s="2" t="s">
        <v>25</v>
      </c>
      <c r="E254" s="2" t="s">
        <v>30</v>
      </c>
      <c r="F254" s="2" t="s">
        <v>36</v>
      </c>
      <c r="G254" s="3">
        <v>984542</v>
      </c>
      <c r="H254" s="3">
        <v>704292</v>
      </c>
      <c r="I254" s="2" t="s">
        <v>11</v>
      </c>
      <c r="J254" s="3">
        <f t="shared" si="3"/>
        <v>58691</v>
      </c>
    </row>
    <row r="255" spans="1:10" x14ac:dyDescent="0.35">
      <c r="A255" s="2" t="s">
        <v>9</v>
      </c>
      <c r="B255" s="2" t="s">
        <v>16</v>
      </c>
      <c r="C255" s="2" t="s">
        <v>18</v>
      </c>
      <c r="D255" s="2" t="s">
        <v>27</v>
      </c>
      <c r="E255" s="2" t="s">
        <v>35</v>
      </c>
      <c r="F255" s="2" t="s">
        <v>38</v>
      </c>
      <c r="G255" s="3">
        <v>2829363</v>
      </c>
      <c r="H255" s="3">
        <v>2148900</v>
      </c>
      <c r="I255" s="2" t="s">
        <v>9</v>
      </c>
      <c r="J255" s="3">
        <f t="shared" si="3"/>
        <v>179075</v>
      </c>
    </row>
    <row r="256" spans="1:10" x14ac:dyDescent="0.35">
      <c r="A256" s="2" t="s">
        <v>13</v>
      </c>
      <c r="B256" s="2" t="s">
        <v>17</v>
      </c>
      <c r="C256" s="2" t="s">
        <v>19</v>
      </c>
      <c r="D256" s="2" t="s">
        <v>25</v>
      </c>
      <c r="E256" s="2" t="s">
        <v>31</v>
      </c>
      <c r="F256" s="2" t="s">
        <v>37</v>
      </c>
      <c r="G256" s="3">
        <v>1928763</v>
      </c>
      <c r="H256" s="3">
        <v>1451509</v>
      </c>
      <c r="I256" s="2" t="s">
        <v>9</v>
      </c>
      <c r="J256" s="3">
        <f t="shared" si="3"/>
        <v>120959.08333333333</v>
      </c>
    </row>
    <row r="257" spans="1:10" x14ac:dyDescent="0.35">
      <c r="A257" s="2" t="s">
        <v>10</v>
      </c>
      <c r="B257" s="2" t="s">
        <v>16</v>
      </c>
      <c r="C257" s="2" t="s">
        <v>18</v>
      </c>
      <c r="D257" s="2" t="s">
        <v>23</v>
      </c>
      <c r="E257" s="2" t="s">
        <v>35</v>
      </c>
      <c r="F257" s="2" t="s">
        <v>38</v>
      </c>
      <c r="G257" s="3">
        <v>3830376</v>
      </c>
      <c r="H257" s="3">
        <v>3103413</v>
      </c>
      <c r="I257" s="2" t="s">
        <v>40</v>
      </c>
      <c r="J257" s="3">
        <f t="shared" si="3"/>
        <v>258617.75</v>
      </c>
    </row>
    <row r="258" spans="1:10" x14ac:dyDescent="0.35">
      <c r="A258" s="2" t="s">
        <v>10</v>
      </c>
      <c r="B258" s="2" t="s">
        <v>15</v>
      </c>
      <c r="C258" s="2" t="s">
        <v>18</v>
      </c>
      <c r="D258" s="2" t="s">
        <v>27</v>
      </c>
      <c r="E258" s="2" t="s">
        <v>31</v>
      </c>
      <c r="F258" s="2" t="s">
        <v>36</v>
      </c>
      <c r="G258" s="3">
        <v>956208</v>
      </c>
      <c r="H258" s="3">
        <v>780875</v>
      </c>
      <c r="I258" s="2" t="s">
        <v>40</v>
      </c>
      <c r="J258" s="3">
        <f t="shared" si="3"/>
        <v>65072.916666666664</v>
      </c>
    </row>
    <row r="259" spans="1:10" x14ac:dyDescent="0.35">
      <c r="A259" s="2" t="s">
        <v>12</v>
      </c>
      <c r="B259" s="2" t="s">
        <v>15</v>
      </c>
      <c r="C259" s="2" t="s">
        <v>19</v>
      </c>
      <c r="D259" s="2" t="s">
        <v>24</v>
      </c>
      <c r="E259" s="2" t="s">
        <v>34</v>
      </c>
      <c r="F259" s="2" t="s">
        <v>36</v>
      </c>
      <c r="G259" s="3">
        <v>803291</v>
      </c>
      <c r="H259" s="3">
        <v>651966</v>
      </c>
      <c r="I259" s="2" t="s">
        <v>11</v>
      </c>
      <c r="J259" s="3">
        <f t="shared" ref="J259:J322" si="4">H259/12</f>
        <v>54330.5</v>
      </c>
    </row>
    <row r="260" spans="1:10" x14ac:dyDescent="0.35">
      <c r="A260" s="2" t="s">
        <v>14</v>
      </c>
      <c r="B260" s="2" t="s">
        <v>16</v>
      </c>
      <c r="C260" s="2" t="s">
        <v>19</v>
      </c>
      <c r="D260" s="2" t="s">
        <v>28</v>
      </c>
      <c r="E260" s="2" t="s">
        <v>33</v>
      </c>
      <c r="F260" s="2" t="s">
        <v>37</v>
      </c>
      <c r="G260" s="3">
        <v>4712524</v>
      </c>
      <c r="H260" s="3">
        <v>3712848</v>
      </c>
      <c r="I260" s="2" t="s">
        <v>40</v>
      </c>
      <c r="J260" s="3">
        <f t="shared" si="4"/>
        <v>309404</v>
      </c>
    </row>
    <row r="261" spans="1:10" x14ac:dyDescent="0.35">
      <c r="A261" s="2" t="s">
        <v>12</v>
      </c>
      <c r="B261" s="2" t="s">
        <v>15</v>
      </c>
      <c r="C261" s="2" t="s">
        <v>18</v>
      </c>
      <c r="D261" s="2" t="s">
        <v>24</v>
      </c>
      <c r="E261" s="2" t="s">
        <v>30</v>
      </c>
      <c r="F261" s="2" t="s">
        <v>36</v>
      </c>
      <c r="G261" s="3">
        <v>847091</v>
      </c>
      <c r="H261" s="3">
        <v>658094</v>
      </c>
      <c r="I261" s="2" t="s">
        <v>11</v>
      </c>
      <c r="J261" s="3">
        <f t="shared" si="4"/>
        <v>54841.166666666664</v>
      </c>
    </row>
    <row r="262" spans="1:10" x14ac:dyDescent="0.35">
      <c r="A262" s="2" t="s">
        <v>10</v>
      </c>
      <c r="B262" s="2" t="s">
        <v>16</v>
      </c>
      <c r="C262" s="2" t="s">
        <v>19</v>
      </c>
      <c r="D262" s="2" t="s">
        <v>26</v>
      </c>
      <c r="E262" s="2" t="s">
        <v>32</v>
      </c>
      <c r="F262" s="2" t="s">
        <v>37</v>
      </c>
      <c r="G262" s="3">
        <v>5923843</v>
      </c>
      <c r="H262" s="3">
        <v>4157752</v>
      </c>
      <c r="I262" s="2" t="s">
        <v>40</v>
      </c>
      <c r="J262" s="3">
        <f t="shared" si="4"/>
        <v>346479.33333333331</v>
      </c>
    </row>
    <row r="263" spans="1:10" x14ac:dyDescent="0.35">
      <c r="A263" s="2" t="s">
        <v>9</v>
      </c>
      <c r="B263" s="2" t="s">
        <v>17</v>
      </c>
      <c r="C263" s="2" t="s">
        <v>18</v>
      </c>
      <c r="D263" s="2" t="s">
        <v>26</v>
      </c>
      <c r="E263" s="2" t="s">
        <v>33</v>
      </c>
      <c r="F263" s="2" t="s">
        <v>39</v>
      </c>
      <c r="G263" s="3">
        <v>1297379</v>
      </c>
      <c r="H263" s="3">
        <v>953710</v>
      </c>
      <c r="I263" s="2" t="s">
        <v>9</v>
      </c>
      <c r="J263" s="3">
        <f t="shared" si="4"/>
        <v>79475.833333333328</v>
      </c>
    </row>
    <row r="264" spans="1:10" x14ac:dyDescent="0.35">
      <c r="A264" s="2" t="s">
        <v>10</v>
      </c>
      <c r="B264" s="2" t="s">
        <v>16</v>
      </c>
      <c r="C264" s="2" t="s">
        <v>19</v>
      </c>
      <c r="D264" s="2" t="s">
        <v>22</v>
      </c>
      <c r="E264" s="2" t="s">
        <v>29</v>
      </c>
      <c r="F264" s="2" t="s">
        <v>37</v>
      </c>
      <c r="G264" s="3">
        <v>4122441</v>
      </c>
      <c r="H264" s="3">
        <v>3216224</v>
      </c>
      <c r="I264" s="2" t="s">
        <v>40</v>
      </c>
      <c r="J264" s="3">
        <f t="shared" si="4"/>
        <v>268018.66666666669</v>
      </c>
    </row>
    <row r="265" spans="1:10" x14ac:dyDescent="0.35">
      <c r="A265" s="2" t="s">
        <v>11</v>
      </c>
      <c r="B265" s="2" t="s">
        <v>17</v>
      </c>
      <c r="C265" s="2" t="s">
        <v>19</v>
      </c>
      <c r="D265" s="2" t="s">
        <v>23</v>
      </c>
      <c r="E265" s="2" t="s">
        <v>34</v>
      </c>
      <c r="F265" s="2" t="s">
        <v>36</v>
      </c>
      <c r="G265" s="3">
        <v>2343311</v>
      </c>
      <c r="H265" s="3">
        <v>1900123</v>
      </c>
      <c r="I265" s="2" t="s">
        <v>11</v>
      </c>
      <c r="J265" s="3">
        <f t="shared" si="4"/>
        <v>158343.58333333334</v>
      </c>
    </row>
    <row r="266" spans="1:10" x14ac:dyDescent="0.35">
      <c r="A266" s="2" t="s">
        <v>9</v>
      </c>
      <c r="B266" s="2" t="s">
        <v>17</v>
      </c>
      <c r="C266" s="2" t="s">
        <v>18</v>
      </c>
      <c r="D266" s="2" t="s">
        <v>24</v>
      </c>
      <c r="E266" s="2" t="s">
        <v>31</v>
      </c>
      <c r="F266" s="2" t="s">
        <v>36</v>
      </c>
      <c r="G266" s="3">
        <v>1787680</v>
      </c>
      <c r="H266" s="3">
        <v>1334080</v>
      </c>
      <c r="I266" s="2" t="s">
        <v>9</v>
      </c>
      <c r="J266" s="3">
        <f t="shared" si="4"/>
        <v>111173.33333333333</v>
      </c>
    </row>
    <row r="267" spans="1:10" x14ac:dyDescent="0.35">
      <c r="A267" s="2" t="s">
        <v>12</v>
      </c>
      <c r="B267" s="2" t="s">
        <v>17</v>
      </c>
      <c r="C267" s="2" t="s">
        <v>19</v>
      </c>
      <c r="D267" s="2" t="s">
        <v>22</v>
      </c>
      <c r="E267" s="2" t="s">
        <v>34</v>
      </c>
      <c r="F267" s="2" t="s">
        <v>39</v>
      </c>
      <c r="G267" s="3">
        <v>1254089</v>
      </c>
      <c r="H267" s="3">
        <v>977626</v>
      </c>
      <c r="I267" s="2" t="s">
        <v>11</v>
      </c>
      <c r="J267" s="3">
        <f t="shared" si="4"/>
        <v>81468.833333333328</v>
      </c>
    </row>
    <row r="268" spans="1:10" x14ac:dyDescent="0.35">
      <c r="A268" s="2" t="s">
        <v>13</v>
      </c>
      <c r="B268" s="2" t="s">
        <v>15</v>
      </c>
      <c r="C268" s="2" t="s">
        <v>19</v>
      </c>
      <c r="D268" s="2" t="s">
        <v>23</v>
      </c>
      <c r="E268" s="2" t="s">
        <v>29</v>
      </c>
      <c r="F268" s="2" t="s">
        <v>38</v>
      </c>
      <c r="G268" s="3">
        <v>706197</v>
      </c>
      <c r="H268" s="3">
        <v>574585</v>
      </c>
      <c r="I268" s="2" t="s">
        <v>9</v>
      </c>
      <c r="J268" s="3">
        <f t="shared" si="4"/>
        <v>47882.083333333336</v>
      </c>
    </row>
    <row r="269" spans="1:10" x14ac:dyDescent="0.35">
      <c r="A269" s="2" t="s">
        <v>12</v>
      </c>
      <c r="B269" s="2" t="s">
        <v>15</v>
      </c>
      <c r="C269" s="2" t="s">
        <v>18</v>
      </c>
      <c r="D269" s="2" t="s">
        <v>22</v>
      </c>
      <c r="E269" s="2" t="s">
        <v>29</v>
      </c>
      <c r="F269" s="2" t="s">
        <v>39</v>
      </c>
      <c r="G269" s="3">
        <v>668909</v>
      </c>
      <c r="H269" s="3">
        <v>533742</v>
      </c>
      <c r="I269" s="2" t="s">
        <v>11</v>
      </c>
      <c r="J269" s="3">
        <f t="shared" si="4"/>
        <v>44478.5</v>
      </c>
    </row>
    <row r="270" spans="1:10" x14ac:dyDescent="0.35">
      <c r="A270" s="2" t="s">
        <v>10</v>
      </c>
      <c r="B270" s="2" t="s">
        <v>16</v>
      </c>
      <c r="C270" s="2" t="s">
        <v>19</v>
      </c>
      <c r="D270" s="2" t="s">
        <v>21</v>
      </c>
      <c r="E270" s="2" t="s">
        <v>32</v>
      </c>
      <c r="F270" s="2" t="s">
        <v>38</v>
      </c>
      <c r="G270" s="3">
        <v>6758994</v>
      </c>
      <c r="H270" s="3">
        <v>5281891</v>
      </c>
      <c r="I270" s="2" t="s">
        <v>40</v>
      </c>
      <c r="J270" s="3">
        <f t="shared" si="4"/>
        <v>440157.58333333331</v>
      </c>
    </row>
    <row r="271" spans="1:10" x14ac:dyDescent="0.35">
      <c r="A271" s="2" t="s">
        <v>10</v>
      </c>
      <c r="B271" s="2" t="s">
        <v>17</v>
      </c>
      <c r="C271" s="2" t="s">
        <v>18</v>
      </c>
      <c r="D271" s="2" t="s">
        <v>28</v>
      </c>
      <c r="E271" s="2" t="s">
        <v>35</v>
      </c>
      <c r="F271" s="2" t="s">
        <v>36</v>
      </c>
      <c r="G271" s="3">
        <v>3076810</v>
      </c>
      <c r="H271" s="3">
        <v>2292947</v>
      </c>
      <c r="I271" s="2" t="s">
        <v>40</v>
      </c>
      <c r="J271" s="3">
        <f t="shared" si="4"/>
        <v>191078.91666666666</v>
      </c>
    </row>
    <row r="272" spans="1:10" x14ac:dyDescent="0.35">
      <c r="A272" s="2" t="s">
        <v>14</v>
      </c>
      <c r="B272" s="2" t="s">
        <v>16</v>
      </c>
      <c r="C272" s="2" t="s">
        <v>18</v>
      </c>
      <c r="D272" s="2" t="s">
        <v>22</v>
      </c>
      <c r="E272" s="2" t="s">
        <v>29</v>
      </c>
      <c r="F272" s="2" t="s">
        <v>39</v>
      </c>
      <c r="G272" s="3">
        <v>4043085</v>
      </c>
      <c r="H272" s="3">
        <v>3228423</v>
      </c>
      <c r="I272" s="2" t="s">
        <v>40</v>
      </c>
      <c r="J272" s="3">
        <f t="shared" si="4"/>
        <v>269035.25</v>
      </c>
    </row>
    <row r="273" spans="1:10" x14ac:dyDescent="0.35">
      <c r="A273" s="2" t="s">
        <v>12</v>
      </c>
      <c r="B273" s="2" t="s">
        <v>16</v>
      </c>
      <c r="C273" s="2" t="s">
        <v>18</v>
      </c>
      <c r="D273" s="2" t="s">
        <v>23</v>
      </c>
      <c r="E273" s="2" t="s">
        <v>32</v>
      </c>
      <c r="F273" s="2" t="s">
        <v>37</v>
      </c>
      <c r="G273" s="3">
        <v>5262703</v>
      </c>
      <c r="H273" s="3">
        <v>3853308</v>
      </c>
      <c r="I273" s="2" t="s">
        <v>11</v>
      </c>
      <c r="J273" s="3">
        <f t="shared" si="4"/>
        <v>321109</v>
      </c>
    </row>
    <row r="274" spans="1:10" x14ac:dyDescent="0.35">
      <c r="A274" s="2" t="s">
        <v>9</v>
      </c>
      <c r="B274" s="2" t="s">
        <v>15</v>
      </c>
      <c r="C274" s="2" t="s">
        <v>18</v>
      </c>
      <c r="D274" s="2" t="s">
        <v>24</v>
      </c>
      <c r="E274" s="2" t="s">
        <v>34</v>
      </c>
      <c r="F274" s="2" t="s">
        <v>38</v>
      </c>
      <c r="G274" s="3">
        <v>708319</v>
      </c>
      <c r="H274" s="3">
        <v>525595</v>
      </c>
      <c r="I274" s="2" t="s">
        <v>9</v>
      </c>
      <c r="J274" s="3">
        <f t="shared" si="4"/>
        <v>43799.583333333336</v>
      </c>
    </row>
    <row r="275" spans="1:10" x14ac:dyDescent="0.35">
      <c r="A275" s="2" t="s">
        <v>9</v>
      </c>
      <c r="B275" s="2" t="s">
        <v>15</v>
      </c>
      <c r="C275" s="2" t="s">
        <v>19</v>
      </c>
      <c r="D275" s="2" t="s">
        <v>26</v>
      </c>
      <c r="E275" s="2" t="s">
        <v>30</v>
      </c>
      <c r="F275" s="2" t="s">
        <v>36</v>
      </c>
      <c r="G275" s="3">
        <v>569366</v>
      </c>
      <c r="H275" s="3">
        <v>444430</v>
      </c>
      <c r="I275" s="2" t="s">
        <v>9</v>
      </c>
      <c r="J275" s="3">
        <f t="shared" si="4"/>
        <v>37035.833333333336</v>
      </c>
    </row>
    <row r="276" spans="1:10" x14ac:dyDescent="0.35">
      <c r="A276" s="2" t="s">
        <v>13</v>
      </c>
      <c r="B276" s="2" t="s">
        <v>16</v>
      </c>
      <c r="C276" s="2" t="s">
        <v>18</v>
      </c>
      <c r="D276" s="2" t="s">
        <v>27</v>
      </c>
      <c r="E276" s="2" t="s">
        <v>29</v>
      </c>
      <c r="F276" s="2" t="s">
        <v>36</v>
      </c>
      <c r="G276" s="3">
        <v>3118062</v>
      </c>
      <c r="H276" s="3">
        <v>2552851</v>
      </c>
      <c r="I276" s="2" t="s">
        <v>9</v>
      </c>
      <c r="J276" s="3">
        <f t="shared" si="4"/>
        <v>212737.58333333334</v>
      </c>
    </row>
    <row r="277" spans="1:10" x14ac:dyDescent="0.35">
      <c r="A277" s="2" t="s">
        <v>14</v>
      </c>
      <c r="B277" s="2" t="s">
        <v>16</v>
      </c>
      <c r="C277" s="2" t="s">
        <v>19</v>
      </c>
      <c r="D277" s="2" t="s">
        <v>24</v>
      </c>
      <c r="E277" s="2" t="s">
        <v>35</v>
      </c>
      <c r="F277" s="2" t="s">
        <v>37</v>
      </c>
      <c r="G277" s="3">
        <v>6271472</v>
      </c>
      <c r="H277" s="3">
        <v>4973758</v>
      </c>
      <c r="I277" s="2" t="s">
        <v>40</v>
      </c>
      <c r="J277" s="3">
        <f t="shared" si="4"/>
        <v>414479.83333333331</v>
      </c>
    </row>
    <row r="278" spans="1:10" x14ac:dyDescent="0.35">
      <c r="A278" s="2" t="s">
        <v>11</v>
      </c>
      <c r="B278" s="2" t="s">
        <v>17</v>
      </c>
      <c r="C278" s="2" t="s">
        <v>18</v>
      </c>
      <c r="D278" s="2" t="s">
        <v>28</v>
      </c>
      <c r="E278" s="2" t="s">
        <v>30</v>
      </c>
      <c r="F278" s="2" t="s">
        <v>39</v>
      </c>
      <c r="G278" s="3">
        <v>1989836</v>
      </c>
      <c r="H278" s="3">
        <v>1451962</v>
      </c>
      <c r="I278" s="2" t="s">
        <v>11</v>
      </c>
      <c r="J278" s="3">
        <f t="shared" si="4"/>
        <v>120996.83333333333</v>
      </c>
    </row>
    <row r="279" spans="1:10" x14ac:dyDescent="0.35">
      <c r="A279" s="2" t="s">
        <v>9</v>
      </c>
      <c r="B279" s="2" t="s">
        <v>16</v>
      </c>
      <c r="C279" s="2" t="s">
        <v>19</v>
      </c>
      <c r="D279" s="2" t="s">
        <v>25</v>
      </c>
      <c r="E279" s="2" t="s">
        <v>34</v>
      </c>
      <c r="F279" s="2" t="s">
        <v>38</v>
      </c>
      <c r="G279" s="3">
        <v>2180553</v>
      </c>
      <c r="H279" s="3">
        <v>1622621</v>
      </c>
      <c r="I279" s="2" t="s">
        <v>9</v>
      </c>
      <c r="J279" s="3">
        <f t="shared" si="4"/>
        <v>135218.41666666666</v>
      </c>
    </row>
    <row r="280" spans="1:10" x14ac:dyDescent="0.35">
      <c r="A280" s="2" t="s">
        <v>13</v>
      </c>
      <c r="B280" s="2" t="s">
        <v>16</v>
      </c>
      <c r="C280" s="2" t="s">
        <v>18</v>
      </c>
      <c r="D280" s="2" t="s">
        <v>28</v>
      </c>
      <c r="E280" s="2" t="s">
        <v>33</v>
      </c>
      <c r="F280" s="2" t="s">
        <v>39</v>
      </c>
      <c r="G280" s="3">
        <v>2624012</v>
      </c>
      <c r="H280" s="3">
        <v>1950215</v>
      </c>
      <c r="I280" s="2" t="s">
        <v>9</v>
      </c>
      <c r="J280" s="3">
        <f t="shared" si="4"/>
        <v>162517.91666666666</v>
      </c>
    </row>
    <row r="281" spans="1:10" x14ac:dyDescent="0.35">
      <c r="A281" s="2" t="s">
        <v>12</v>
      </c>
      <c r="B281" s="2" t="s">
        <v>16</v>
      </c>
      <c r="C281" s="2" t="s">
        <v>19</v>
      </c>
      <c r="D281" s="2" t="s">
        <v>22</v>
      </c>
      <c r="E281" s="2" t="s">
        <v>29</v>
      </c>
      <c r="F281" s="2" t="s">
        <v>36</v>
      </c>
      <c r="G281" s="3">
        <v>4443894</v>
      </c>
      <c r="H281" s="3">
        <v>3330230</v>
      </c>
      <c r="I281" s="2" t="s">
        <v>11</v>
      </c>
      <c r="J281" s="3">
        <f t="shared" si="4"/>
        <v>277519.16666666669</v>
      </c>
    </row>
    <row r="282" spans="1:10" x14ac:dyDescent="0.35">
      <c r="A282" s="2" t="s">
        <v>9</v>
      </c>
      <c r="B282" s="2" t="s">
        <v>17</v>
      </c>
      <c r="C282" s="2" t="s">
        <v>19</v>
      </c>
      <c r="D282" s="2" t="s">
        <v>26</v>
      </c>
      <c r="E282" s="2" t="s">
        <v>30</v>
      </c>
      <c r="F282" s="2" t="s">
        <v>37</v>
      </c>
      <c r="G282" s="3">
        <v>1276611</v>
      </c>
      <c r="H282" s="3">
        <v>1029439</v>
      </c>
      <c r="I282" s="2" t="s">
        <v>9</v>
      </c>
      <c r="J282" s="3">
        <f t="shared" si="4"/>
        <v>85786.583333333328</v>
      </c>
    </row>
    <row r="283" spans="1:10" x14ac:dyDescent="0.35">
      <c r="A283" s="2" t="s">
        <v>9</v>
      </c>
      <c r="B283" s="2" t="s">
        <v>17</v>
      </c>
      <c r="C283" s="2" t="s">
        <v>19</v>
      </c>
      <c r="D283" s="2" t="s">
        <v>27</v>
      </c>
      <c r="E283" s="2" t="s">
        <v>29</v>
      </c>
      <c r="F283" s="2" t="s">
        <v>38</v>
      </c>
      <c r="G283" s="3">
        <v>1540093</v>
      </c>
      <c r="H283" s="3">
        <v>1200132</v>
      </c>
      <c r="I283" s="2" t="s">
        <v>9</v>
      </c>
      <c r="J283" s="3">
        <f t="shared" si="4"/>
        <v>100011</v>
      </c>
    </row>
    <row r="284" spans="1:10" x14ac:dyDescent="0.35">
      <c r="A284" s="2" t="s">
        <v>11</v>
      </c>
      <c r="B284" s="2" t="s">
        <v>15</v>
      </c>
      <c r="C284" s="2" t="s">
        <v>19</v>
      </c>
      <c r="D284" s="2" t="s">
        <v>26</v>
      </c>
      <c r="E284" s="2" t="s">
        <v>29</v>
      </c>
      <c r="F284" s="2" t="s">
        <v>37</v>
      </c>
      <c r="G284" s="3">
        <v>654419</v>
      </c>
      <c r="H284" s="3">
        <v>536164</v>
      </c>
      <c r="I284" s="2" t="s">
        <v>11</v>
      </c>
      <c r="J284" s="3">
        <f t="shared" si="4"/>
        <v>44680.333333333336</v>
      </c>
    </row>
    <row r="285" spans="1:10" x14ac:dyDescent="0.35">
      <c r="A285" s="2" t="s">
        <v>11</v>
      </c>
      <c r="B285" s="2" t="s">
        <v>16</v>
      </c>
      <c r="C285" s="2" t="s">
        <v>19</v>
      </c>
      <c r="D285" s="2" t="s">
        <v>23</v>
      </c>
      <c r="E285" s="2" t="s">
        <v>32</v>
      </c>
      <c r="F285" s="2" t="s">
        <v>38</v>
      </c>
      <c r="G285" s="3">
        <v>5983949</v>
      </c>
      <c r="H285" s="3">
        <v>4834773</v>
      </c>
      <c r="I285" s="2" t="s">
        <v>11</v>
      </c>
      <c r="J285" s="3">
        <f t="shared" si="4"/>
        <v>402897.75</v>
      </c>
    </row>
    <row r="286" spans="1:10" x14ac:dyDescent="0.35">
      <c r="A286" s="2" t="s">
        <v>10</v>
      </c>
      <c r="B286" s="2" t="s">
        <v>16</v>
      </c>
      <c r="C286" s="2" t="s">
        <v>18</v>
      </c>
      <c r="D286" s="2" t="s">
        <v>26</v>
      </c>
      <c r="E286" s="2" t="s">
        <v>35</v>
      </c>
      <c r="F286" s="2" t="s">
        <v>39</v>
      </c>
      <c r="G286" s="3">
        <v>6508163</v>
      </c>
      <c r="H286" s="3">
        <v>5197742</v>
      </c>
      <c r="I286" s="2" t="s">
        <v>40</v>
      </c>
      <c r="J286" s="3">
        <f t="shared" si="4"/>
        <v>433145.16666666669</v>
      </c>
    </row>
    <row r="287" spans="1:10" x14ac:dyDescent="0.35">
      <c r="A287" s="2" t="s">
        <v>14</v>
      </c>
      <c r="B287" s="2" t="s">
        <v>16</v>
      </c>
      <c r="C287" s="2" t="s">
        <v>19</v>
      </c>
      <c r="D287" s="2" t="s">
        <v>26</v>
      </c>
      <c r="E287" s="2" t="s">
        <v>35</v>
      </c>
      <c r="F287" s="2" t="s">
        <v>37</v>
      </c>
      <c r="G287" s="3">
        <v>3203645</v>
      </c>
      <c r="H287" s="3">
        <v>2369863</v>
      </c>
      <c r="I287" s="2" t="s">
        <v>40</v>
      </c>
      <c r="J287" s="3">
        <f t="shared" si="4"/>
        <v>197488.58333333334</v>
      </c>
    </row>
    <row r="288" spans="1:10" x14ac:dyDescent="0.35">
      <c r="A288" s="2" t="s">
        <v>11</v>
      </c>
      <c r="B288" s="2" t="s">
        <v>16</v>
      </c>
      <c r="C288" s="2" t="s">
        <v>19</v>
      </c>
      <c r="D288" s="2" t="s">
        <v>22</v>
      </c>
      <c r="E288" s="2" t="s">
        <v>29</v>
      </c>
      <c r="F288" s="2" t="s">
        <v>38</v>
      </c>
      <c r="G288" s="3">
        <v>5231730</v>
      </c>
      <c r="H288" s="3">
        <v>4282050</v>
      </c>
      <c r="I288" s="2" t="s">
        <v>11</v>
      </c>
      <c r="J288" s="3">
        <f t="shared" si="4"/>
        <v>356837.5</v>
      </c>
    </row>
    <row r="289" spans="1:10" x14ac:dyDescent="0.35">
      <c r="A289" s="2" t="s">
        <v>9</v>
      </c>
      <c r="B289" s="2" t="s">
        <v>16</v>
      </c>
      <c r="C289" s="2" t="s">
        <v>18</v>
      </c>
      <c r="D289" s="2" t="s">
        <v>25</v>
      </c>
      <c r="E289" s="2" t="s">
        <v>29</v>
      </c>
      <c r="F289" s="2" t="s">
        <v>38</v>
      </c>
      <c r="G289" s="3">
        <v>2700635</v>
      </c>
      <c r="H289" s="3">
        <v>1907634</v>
      </c>
      <c r="I289" s="2" t="s">
        <v>9</v>
      </c>
      <c r="J289" s="3">
        <f t="shared" si="4"/>
        <v>158969.5</v>
      </c>
    </row>
    <row r="290" spans="1:10" x14ac:dyDescent="0.35">
      <c r="A290" s="2" t="s">
        <v>10</v>
      </c>
      <c r="B290" s="2" t="s">
        <v>15</v>
      </c>
      <c r="C290" s="2" t="s">
        <v>19</v>
      </c>
      <c r="D290" s="2" t="s">
        <v>26</v>
      </c>
      <c r="E290" s="2" t="s">
        <v>29</v>
      </c>
      <c r="F290" s="2" t="s">
        <v>37</v>
      </c>
      <c r="G290" s="3">
        <v>1059137</v>
      </c>
      <c r="H290" s="3">
        <v>802081</v>
      </c>
      <c r="I290" s="2" t="s">
        <v>40</v>
      </c>
      <c r="J290" s="3">
        <f t="shared" si="4"/>
        <v>66840.083333333328</v>
      </c>
    </row>
    <row r="291" spans="1:10" x14ac:dyDescent="0.35">
      <c r="A291" s="2" t="s">
        <v>9</v>
      </c>
      <c r="B291" s="2" t="s">
        <v>17</v>
      </c>
      <c r="C291" s="2" t="s">
        <v>19</v>
      </c>
      <c r="D291" s="2" t="s">
        <v>27</v>
      </c>
      <c r="E291" s="2" t="s">
        <v>32</v>
      </c>
      <c r="F291" s="2" t="s">
        <v>36</v>
      </c>
      <c r="G291" s="3">
        <v>1318704</v>
      </c>
      <c r="H291" s="3">
        <v>942556</v>
      </c>
      <c r="I291" s="2" t="s">
        <v>9</v>
      </c>
      <c r="J291" s="3">
        <f t="shared" si="4"/>
        <v>78546.333333333328</v>
      </c>
    </row>
    <row r="292" spans="1:10" x14ac:dyDescent="0.35">
      <c r="A292" s="2" t="s">
        <v>12</v>
      </c>
      <c r="B292" s="2" t="s">
        <v>15</v>
      </c>
      <c r="C292" s="2" t="s">
        <v>19</v>
      </c>
      <c r="D292" s="2" t="s">
        <v>24</v>
      </c>
      <c r="E292" s="2" t="s">
        <v>29</v>
      </c>
      <c r="F292" s="2" t="s">
        <v>36</v>
      </c>
      <c r="G292" s="3">
        <v>505749</v>
      </c>
      <c r="H292" s="3">
        <v>375877</v>
      </c>
      <c r="I292" s="2" t="s">
        <v>11</v>
      </c>
      <c r="J292" s="3">
        <f t="shared" si="4"/>
        <v>31323.083333333332</v>
      </c>
    </row>
    <row r="293" spans="1:10" x14ac:dyDescent="0.35">
      <c r="A293" s="2" t="s">
        <v>13</v>
      </c>
      <c r="B293" s="2" t="s">
        <v>15</v>
      </c>
      <c r="C293" s="2" t="s">
        <v>19</v>
      </c>
      <c r="D293" s="2" t="s">
        <v>28</v>
      </c>
      <c r="E293" s="2" t="s">
        <v>30</v>
      </c>
      <c r="F293" s="2" t="s">
        <v>38</v>
      </c>
      <c r="G293" s="3">
        <v>529562</v>
      </c>
      <c r="H293" s="3">
        <v>406419</v>
      </c>
      <c r="I293" s="2" t="s">
        <v>9</v>
      </c>
      <c r="J293" s="3">
        <f t="shared" si="4"/>
        <v>33868.25</v>
      </c>
    </row>
    <row r="294" spans="1:10" x14ac:dyDescent="0.35">
      <c r="A294" s="2" t="s">
        <v>13</v>
      </c>
      <c r="B294" s="2" t="s">
        <v>15</v>
      </c>
      <c r="C294" s="2" t="s">
        <v>18</v>
      </c>
      <c r="D294" s="2" t="s">
        <v>23</v>
      </c>
      <c r="E294" s="2" t="s">
        <v>30</v>
      </c>
      <c r="F294" s="2" t="s">
        <v>39</v>
      </c>
      <c r="G294" s="3">
        <v>1133606</v>
      </c>
      <c r="H294" s="3">
        <v>858100</v>
      </c>
      <c r="I294" s="2" t="s">
        <v>9</v>
      </c>
      <c r="J294" s="3">
        <f t="shared" si="4"/>
        <v>71508.333333333328</v>
      </c>
    </row>
    <row r="295" spans="1:10" x14ac:dyDescent="0.35">
      <c r="A295" s="2" t="s">
        <v>9</v>
      </c>
      <c r="B295" s="2" t="s">
        <v>15</v>
      </c>
      <c r="C295" s="2" t="s">
        <v>18</v>
      </c>
      <c r="D295" s="2" t="s">
        <v>20</v>
      </c>
      <c r="E295" s="2" t="s">
        <v>31</v>
      </c>
      <c r="F295" s="2" t="s">
        <v>37</v>
      </c>
      <c r="G295" s="3">
        <v>367478</v>
      </c>
      <c r="H295" s="3">
        <v>300934</v>
      </c>
      <c r="I295" s="2" t="s">
        <v>9</v>
      </c>
      <c r="J295" s="3">
        <f t="shared" si="4"/>
        <v>25077.833333333332</v>
      </c>
    </row>
    <row r="296" spans="1:10" x14ac:dyDescent="0.35">
      <c r="A296" s="2" t="s">
        <v>9</v>
      </c>
      <c r="B296" s="2" t="s">
        <v>16</v>
      </c>
      <c r="C296" s="2" t="s">
        <v>19</v>
      </c>
      <c r="D296" s="2" t="s">
        <v>25</v>
      </c>
      <c r="E296" s="2" t="s">
        <v>30</v>
      </c>
      <c r="F296" s="2" t="s">
        <v>38</v>
      </c>
      <c r="G296" s="3">
        <v>2820120</v>
      </c>
      <c r="H296" s="3">
        <v>2016304</v>
      </c>
      <c r="I296" s="2" t="s">
        <v>9</v>
      </c>
      <c r="J296" s="3">
        <f t="shared" si="4"/>
        <v>168025.33333333334</v>
      </c>
    </row>
    <row r="297" spans="1:10" x14ac:dyDescent="0.35">
      <c r="A297" s="2" t="s">
        <v>12</v>
      </c>
      <c r="B297" s="2" t="s">
        <v>17</v>
      </c>
      <c r="C297" s="2" t="s">
        <v>18</v>
      </c>
      <c r="D297" s="2" t="s">
        <v>25</v>
      </c>
      <c r="E297" s="2" t="s">
        <v>30</v>
      </c>
      <c r="F297" s="2" t="s">
        <v>36</v>
      </c>
      <c r="G297" s="3">
        <v>2375002</v>
      </c>
      <c r="H297" s="3">
        <v>1869824</v>
      </c>
      <c r="I297" s="2" t="s">
        <v>11</v>
      </c>
      <c r="J297" s="3">
        <f t="shared" si="4"/>
        <v>155818.66666666666</v>
      </c>
    </row>
    <row r="298" spans="1:10" x14ac:dyDescent="0.35">
      <c r="A298" s="2" t="s">
        <v>10</v>
      </c>
      <c r="B298" s="2" t="s">
        <v>16</v>
      </c>
      <c r="C298" s="2" t="s">
        <v>19</v>
      </c>
      <c r="D298" s="2" t="s">
        <v>23</v>
      </c>
      <c r="E298" s="2" t="s">
        <v>30</v>
      </c>
      <c r="F298" s="2" t="s">
        <v>38</v>
      </c>
      <c r="G298" s="3">
        <v>6071686</v>
      </c>
      <c r="H298" s="3">
        <v>4953216</v>
      </c>
      <c r="I298" s="2" t="s">
        <v>40</v>
      </c>
      <c r="J298" s="3">
        <f t="shared" si="4"/>
        <v>412768</v>
      </c>
    </row>
    <row r="299" spans="1:10" x14ac:dyDescent="0.35">
      <c r="A299" s="2" t="s">
        <v>9</v>
      </c>
      <c r="B299" s="2" t="s">
        <v>17</v>
      </c>
      <c r="C299" s="2" t="s">
        <v>19</v>
      </c>
      <c r="D299" s="2" t="s">
        <v>22</v>
      </c>
      <c r="E299" s="2" t="s">
        <v>31</v>
      </c>
      <c r="F299" s="2" t="s">
        <v>38</v>
      </c>
      <c r="G299" s="3">
        <v>1248009</v>
      </c>
      <c r="H299" s="3">
        <v>930563</v>
      </c>
      <c r="I299" s="2" t="s">
        <v>9</v>
      </c>
      <c r="J299" s="3">
        <f t="shared" si="4"/>
        <v>77546.916666666672</v>
      </c>
    </row>
    <row r="300" spans="1:10" x14ac:dyDescent="0.35">
      <c r="A300" s="2" t="s">
        <v>12</v>
      </c>
      <c r="B300" s="2" t="s">
        <v>16</v>
      </c>
      <c r="C300" s="2" t="s">
        <v>19</v>
      </c>
      <c r="D300" s="2" t="s">
        <v>25</v>
      </c>
      <c r="E300" s="2" t="s">
        <v>31</v>
      </c>
      <c r="F300" s="2" t="s">
        <v>38</v>
      </c>
      <c r="G300" s="3">
        <v>5169546</v>
      </c>
      <c r="H300" s="3">
        <v>3911153</v>
      </c>
      <c r="I300" s="2" t="s">
        <v>11</v>
      </c>
      <c r="J300" s="3">
        <f t="shared" si="4"/>
        <v>325929.41666666669</v>
      </c>
    </row>
    <row r="301" spans="1:10" x14ac:dyDescent="0.35">
      <c r="A301" s="2" t="s">
        <v>11</v>
      </c>
      <c r="B301" s="2" t="s">
        <v>16</v>
      </c>
      <c r="C301" s="2" t="s">
        <v>18</v>
      </c>
      <c r="D301" s="2" t="s">
        <v>25</v>
      </c>
      <c r="E301" s="2" t="s">
        <v>30</v>
      </c>
      <c r="F301" s="2" t="s">
        <v>36</v>
      </c>
      <c r="G301" s="3">
        <v>2504091</v>
      </c>
      <c r="H301" s="3">
        <v>1988970</v>
      </c>
      <c r="I301" s="2" t="s">
        <v>11</v>
      </c>
      <c r="J301" s="3">
        <f t="shared" si="4"/>
        <v>165747.5</v>
      </c>
    </row>
    <row r="302" spans="1:10" x14ac:dyDescent="0.35">
      <c r="A302" s="2" t="s">
        <v>12</v>
      </c>
      <c r="B302" s="2" t="s">
        <v>15</v>
      </c>
      <c r="C302" s="2" t="s">
        <v>19</v>
      </c>
      <c r="D302" s="2" t="s">
        <v>23</v>
      </c>
      <c r="E302" s="2" t="s">
        <v>34</v>
      </c>
      <c r="F302" s="2" t="s">
        <v>39</v>
      </c>
      <c r="G302" s="3">
        <v>645758</v>
      </c>
      <c r="H302" s="3">
        <v>498463</v>
      </c>
      <c r="I302" s="2" t="s">
        <v>11</v>
      </c>
      <c r="J302" s="3">
        <f t="shared" si="4"/>
        <v>41538.583333333336</v>
      </c>
    </row>
    <row r="303" spans="1:10" x14ac:dyDescent="0.35">
      <c r="A303" s="2" t="s">
        <v>9</v>
      </c>
      <c r="B303" s="2" t="s">
        <v>16</v>
      </c>
      <c r="C303" s="2" t="s">
        <v>19</v>
      </c>
      <c r="D303" s="2" t="s">
        <v>25</v>
      </c>
      <c r="E303" s="2" t="s">
        <v>33</v>
      </c>
      <c r="F303" s="2" t="s">
        <v>39</v>
      </c>
      <c r="G303" s="3">
        <v>3197466</v>
      </c>
      <c r="H303" s="3">
        <v>2280535</v>
      </c>
      <c r="I303" s="2" t="s">
        <v>9</v>
      </c>
      <c r="J303" s="3">
        <f t="shared" si="4"/>
        <v>190044.58333333334</v>
      </c>
    </row>
    <row r="304" spans="1:10" x14ac:dyDescent="0.35">
      <c r="A304" s="2" t="s">
        <v>13</v>
      </c>
      <c r="B304" s="2" t="s">
        <v>15</v>
      </c>
      <c r="C304" s="2" t="s">
        <v>18</v>
      </c>
      <c r="D304" s="2" t="s">
        <v>21</v>
      </c>
      <c r="E304" s="2" t="s">
        <v>31</v>
      </c>
      <c r="F304" s="2" t="s">
        <v>38</v>
      </c>
      <c r="G304" s="3">
        <v>572838</v>
      </c>
      <c r="H304" s="3">
        <v>459040</v>
      </c>
      <c r="I304" s="2" t="s">
        <v>9</v>
      </c>
      <c r="J304" s="3">
        <f t="shared" si="4"/>
        <v>38253.333333333336</v>
      </c>
    </row>
    <row r="305" spans="1:10" x14ac:dyDescent="0.35">
      <c r="A305" s="2" t="s">
        <v>13</v>
      </c>
      <c r="B305" s="2" t="s">
        <v>15</v>
      </c>
      <c r="C305" s="2" t="s">
        <v>18</v>
      </c>
      <c r="D305" s="2" t="s">
        <v>20</v>
      </c>
      <c r="E305" s="2" t="s">
        <v>33</v>
      </c>
      <c r="F305" s="2" t="s">
        <v>36</v>
      </c>
      <c r="G305" s="3">
        <v>859751</v>
      </c>
      <c r="H305" s="3">
        <v>687449</v>
      </c>
      <c r="I305" s="2" t="s">
        <v>9</v>
      </c>
      <c r="J305" s="3">
        <f t="shared" si="4"/>
        <v>57287.416666666664</v>
      </c>
    </row>
    <row r="306" spans="1:10" x14ac:dyDescent="0.35">
      <c r="A306" s="2" t="s">
        <v>11</v>
      </c>
      <c r="B306" s="2" t="s">
        <v>17</v>
      </c>
      <c r="C306" s="2" t="s">
        <v>18</v>
      </c>
      <c r="D306" s="2" t="s">
        <v>26</v>
      </c>
      <c r="E306" s="2" t="s">
        <v>30</v>
      </c>
      <c r="F306" s="2" t="s">
        <v>39</v>
      </c>
      <c r="G306" s="3">
        <v>1829189</v>
      </c>
      <c r="H306" s="3">
        <v>1349353</v>
      </c>
      <c r="I306" s="2" t="s">
        <v>11</v>
      </c>
      <c r="J306" s="3">
        <f t="shared" si="4"/>
        <v>112446.08333333333</v>
      </c>
    </row>
    <row r="307" spans="1:10" x14ac:dyDescent="0.35">
      <c r="A307" s="2" t="s">
        <v>14</v>
      </c>
      <c r="B307" s="2" t="s">
        <v>17</v>
      </c>
      <c r="C307" s="2" t="s">
        <v>19</v>
      </c>
      <c r="D307" s="2" t="s">
        <v>21</v>
      </c>
      <c r="E307" s="2" t="s">
        <v>35</v>
      </c>
      <c r="F307" s="2" t="s">
        <v>37</v>
      </c>
      <c r="G307" s="3">
        <v>2678042</v>
      </c>
      <c r="H307" s="3">
        <v>1946773</v>
      </c>
      <c r="I307" s="2" t="s">
        <v>40</v>
      </c>
      <c r="J307" s="3">
        <f t="shared" si="4"/>
        <v>162231.08333333334</v>
      </c>
    </row>
    <row r="308" spans="1:10" x14ac:dyDescent="0.35">
      <c r="A308" s="2" t="s">
        <v>11</v>
      </c>
      <c r="B308" s="2" t="s">
        <v>15</v>
      </c>
      <c r="C308" s="2" t="s">
        <v>19</v>
      </c>
      <c r="D308" s="2" t="s">
        <v>25</v>
      </c>
      <c r="E308" s="2" t="s">
        <v>29</v>
      </c>
      <c r="F308" s="2" t="s">
        <v>36</v>
      </c>
      <c r="G308" s="3">
        <v>884172</v>
      </c>
      <c r="H308" s="3">
        <v>676155</v>
      </c>
      <c r="I308" s="2" t="s">
        <v>11</v>
      </c>
      <c r="J308" s="3">
        <f t="shared" si="4"/>
        <v>56346.25</v>
      </c>
    </row>
    <row r="309" spans="1:10" x14ac:dyDescent="0.35">
      <c r="A309" s="2" t="s">
        <v>9</v>
      </c>
      <c r="B309" s="2" t="s">
        <v>16</v>
      </c>
      <c r="C309" s="2" t="s">
        <v>18</v>
      </c>
      <c r="D309" s="2" t="s">
        <v>20</v>
      </c>
      <c r="E309" s="2" t="s">
        <v>34</v>
      </c>
      <c r="F309" s="2" t="s">
        <v>37</v>
      </c>
      <c r="G309" s="3">
        <v>1922410</v>
      </c>
      <c r="H309" s="3">
        <v>1456403</v>
      </c>
      <c r="I309" s="2" t="s">
        <v>9</v>
      </c>
      <c r="J309" s="3">
        <f t="shared" si="4"/>
        <v>121366.91666666667</v>
      </c>
    </row>
    <row r="310" spans="1:10" x14ac:dyDescent="0.35">
      <c r="A310" s="2" t="s">
        <v>11</v>
      </c>
      <c r="B310" s="2" t="s">
        <v>16</v>
      </c>
      <c r="C310" s="2" t="s">
        <v>19</v>
      </c>
      <c r="D310" s="2" t="s">
        <v>24</v>
      </c>
      <c r="E310" s="2" t="s">
        <v>32</v>
      </c>
      <c r="F310" s="2" t="s">
        <v>37</v>
      </c>
      <c r="G310" s="3">
        <v>3448666</v>
      </c>
      <c r="H310" s="3">
        <v>2584407</v>
      </c>
      <c r="I310" s="2" t="s">
        <v>11</v>
      </c>
      <c r="J310" s="3">
        <f t="shared" si="4"/>
        <v>215367.25</v>
      </c>
    </row>
    <row r="311" spans="1:10" x14ac:dyDescent="0.35">
      <c r="A311" s="2" t="s">
        <v>14</v>
      </c>
      <c r="B311" s="2" t="s">
        <v>17</v>
      </c>
      <c r="C311" s="2" t="s">
        <v>18</v>
      </c>
      <c r="D311" s="2" t="s">
        <v>22</v>
      </c>
      <c r="E311" s="2" t="s">
        <v>34</v>
      </c>
      <c r="F311" s="2" t="s">
        <v>38</v>
      </c>
      <c r="G311" s="3">
        <v>2721914</v>
      </c>
      <c r="H311" s="3">
        <v>2031315</v>
      </c>
      <c r="I311" s="2" t="s">
        <v>40</v>
      </c>
      <c r="J311" s="3">
        <f t="shared" si="4"/>
        <v>169276.25</v>
      </c>
    </row>
    <row r="312" spans="1:10" x14ac:dyDescent="0.35">
      <c r="A312" s="2" t="s">
        <v>10</v>
      </c>
      <c r="B312" s="2" t="s">
        <v>17</v>
      </c>
      <c r="C312" s="2" t="s">
        <v>19</v>
      </c>
      <c r="D312" s="2" t="s">
        <v>21</v>
      </c>
      <c r="E312" s="2" t="s">
        <v>35</v>
      </c>
      <c r="F312" s="2" t="s">
        <v>36</v>
      </c>
      <c r="G312" s="3">
        <v>2107639</v>
      </c>
      <c r="H312" s="3">
        <v>1539572</v>
      </c>
      <c r="I312" s="2" t="s">
        <v>40</v>
      </c>
      <c r="J312" s="3">
        <f t="shared" si="4"/>
        <v>128297.66666666667</v>
      </c>
    </row>
    <row r="313" spans="1:10" x14ac:dyDescent="0.35">
      <c r="A313" s="2" t="s">
        <v>9</v>
      </c>
      <c r="B313" s="2" t="s">
        <v>15</v>
      </c>
      <c r="C313" s="2" t="s">
        <v>18</v>
      </c>
      <c r="D313" s="2" t="s">
        <v>23</v>
      </c>
      <c r="E313" s="2" t="s">
        <v>31</v>
      </c>
      <c r="F313" s="2" t="s">
        <v>36</v>
      </c>
      <c r="G313" s="3">
        <v>652543</v>
      </c>
      <c r="H313" s="3">
        <v>473154</v>
      </c>
      <c r="I313" s="2" t="s">
        <v>9</v>
      </c>
      <c r="J313" s="3">
        <f t="shared" si="4"/>
        <v>39429.5</v>
      </c>
    </row>
    <row r="314" spans="1:10" x14ac:dyDescent="0.35">
      <c r="A314" s="2" t="s">
        <v>12</v>
      </c>
      <c r="B314" s="2" t="s">
        <v>16</v>
      </c>
      <c r="C314" s="2" t="s">
        <v>18</v>
      </c>
      <c r="D314" s="2" t="s">
        <v>20</v>
      </c>
      <c r="E314" s="2" t="s">
        <v>34</v>
      </c>
      <c r="F314" s="2" t="s">
        <v>36</v>
      </c>
      <c r="G314" s="3">
        <v>5059808</v>
      </c>
      <c r="H314" s="3">
        <v>4130788</v>
      </c>
      <c r="I314" s="2" t="s">
        <v>11</v>
      </c>
      <c r="J314" s="3">
        <f t="shared" si="4"/>
        <v>344232.33333333331</v>
      </c>
    </row>
    <row r="315" spans="1:10" x14ac:dyDescent="0.35">
      <c r="A315" s="2" t="s">
        <v>11</v>
      </c>
      <c r="B315" s="2" t="s">
        <v>17</v>
      </c>
      <c r="C315" s="2" t="s">
        <v>19</v>
      </c>
      <c r="D315" s="2" t="s">
        <v>20</v>
      </c>
      <c r="E315" s="2" t="s">
        <v>32</v>
      </c>
      <c r="F315" s="2" t="s">
        <v>39</v>
      </c>
      <c r="G315" s="3">
        <v>1252152</v>
      </c>
      <c r="H315" s="3">
        <v>969113</v>
      </c>
      <c r="I315" s="2" t="s">
        <v>11</v>
      </c>
      <c r="J315" s="3">
        <f t="shared" si="4"/>
        <v>80759.416666666672</v>
      </c>
    </row>
    <row r="316" spans="1:10" x14ac:dyDescent="0.35">
      <c r="A316" s="2" t="s">
        <v>10</v>
      </c>
      <c r="B316" s="2" t="s">
        <v>17</v>
      </c>
      <c r="C316" s="2" t="s">
        <v>18</v>
      </c>
      <c r="D316" s="2" t="s">
        <v>22</v>
      </c>
      <c r="E316" s="2" t="s">
        <v>30</v>
      </c>
      <c r="F316" s="2" t="s">
        <v>36</v>
      </c>
      <c r="G316" s="3">
        <v>2890776</v>
      </c>
      <c r="H316" s="3">
        <v>2306182</v>
      </c>
      <c r="I316" s="2" t="s">
        <v>40</v>
      </c>
      <c r="J316" s="3">
        <f t="shared" si="4"/>
        <v>192181.83333333334</v>
      </c>
    </row>
    <row r="317" spans="1:10" x14ac:dyDescent="0.35">
      <c r="A317" s="2" t="s">
        <v>9</v>
      </c>
      <c r="B317" s="2" t="s">
        <v>16</v>
      </c>
      <c r="C317" s="2" t="s">
        <v>19</v>
      </c>
      <c r="D317" s="2" t="s">
        <v>24</v>
      </c>
      <c r="E317" s="2" t="s">
        <v>33</v>
      </c>
      <c r="F317" s="2" t="s">
        <v>38</v>
      </c>
      <c r="G317" s="3">
        <v>2942887</v>
      </c>
      <c r="H317" s="3">
        <v>2279059</v>
      </c>
      <c r="I317" s="2" t="s">
        <v>9</v>
      </c>
      <c r="J317" s="3">
        <f t="shared" si="4"/>
        <v>189921.58333333334</v>
      </c>
    </row>
    <row r="318" spans="1:10" x14ac:dyDescent="0.35">
      <c r="A318" s="2" t="s">
        <v>13</v>
      </c>
      <c r="B318" s="2" t="s">
        <v>15</v>
      </c>
      <c r="C318" s="2" t="s">
        <v>19</v>
      </c>
      <c r="D318" s="2" t="s">
        <v>22</v>
      </c>
      <c r="E318" s="2" t="s">
        <v>32</v>
      </c>
      <c r="F318" s="2" t="s">
        <v>39</v>
      </c>
      <c r="G318" s="3">
        <v>511340</v>
      </c>
      <c r="H318" s="3">
        <v>368268</v>
      </c>
      <c r="I318" s="2" t="s">
        <v>9</v>
      </c>
      <c r="J318" s="3">
        <f t="shared" si="4"/>
        <v>30689</v>
      </c>
    </row>
    <row r="319" spans="1:10" x14ac:dyDescent="0.35">
      <c r="A319" s="2" t="s">
        <v>11</v>
      </c>
      <c r="B319" s="2" t="s">
        <v>16</v>
      </c>
      <c r="C319" s="2" t="s">
        <v>19</v>
      </c>
      <c r="D319" s="2" t="s">
        <v>24</v>
      </c>
      <c r="E319" s="2" t="s">
        <v>31</v>
      </c>
      <c r="F319" s="2" t="s">
        <v>37</v>
      </c>
      <c r="G319" s="3">
        <v>2687611</v>
      </c>
      <c r="H319" s="3">
        <v>1914043</v>
      </c>
      <c r="I319" s="2" t="s">
        <v>11</v>
      </c>
      <c r="J319" s="3">
        <f t="shared" si="4"/>
        <v>159503.58333333334</v>
      </c>
    </row>
    <row r="320" spans="1:10" x14ac:dyDescent="0.35">
      <c r="A320" s="2" t="s">
        <v>10</v>
      </c>
      <c r="B320" s="2" t="s">
        <v>15</v>
      </c>
      <c r="C320" s="2" t="s">
        <v>18</v>
      </c>
      <c r="D320" s="2" t="s">
        <v>28</v>
      </c>
      <c r="E320" s="2" t="s">
        <v>31</v>
      </c>
      <c r="F320" s="2" t="s">
        <v>36</v>
      </c>
      <c r="G320" s="3">
        <v>1538853</v>
      </c>
      <c r="H320" s="3">
        <v>1126157</v>
      </c>
      <c r="I320" s="2" t="s">
        <v>40</v>
      </c>
      <c r="J320" s="3">
        <f t="shared" si="4"/>
        <v>93846.416666666672</v>
      </c>
    </row>
    <row r="321" spans="1:10" x14ac:dyDescent="0.35">
      <c r="A321" s="2" t="s">
        <v>11</v>
      </c>
      <c r="B321" s="2" t="s">
        <v>16</v>
      </c>
      <c r="C321" s="2" t="s">
        <v>18</v>
      </c>
      <c r="D321" s="2" t="s">
        <v>22</v>
      </c>
      <c r="E321" s="2" t="s">
        <v>35</v>
      </c>
      <c r="F321" s="2" t="s">
        <v>38</v>
      </c>
      <c r="G321" s="3">
        <v>4565818</v>
      </c>
      <c r="H321" s="3">
        <v>3321010</v>
      </c>
      <c r="I321" s="2" t="s">
        <v>11</v>
      </c>
      <c r="J321" s="3">
        <f t="shared" si="4"/>
        <v>276750.83333333331</v>
      </c>
    </row>
    <row r="322" spans="1:10" x14ac:dyDescent="0.35">
      <c r="A322" s="2" t="s">
        <v>11</v>
      </c>
      <c r="B322" s="2" t="s">
        <v>16</v>
      </c>
      <c r="C322" s="2" t="s">
        <v>19</v>
      </c>
      <c r="D322" s="2" t="s">
        <v>28</v>
      </c>
      <c r="E322" s="2" t="s">
        <v>35</v>
      </c>
      <c r="F322" s="2" t="s">
        <v>38</v>
      </c>
      <c r="G322" s="3">
        <v>4142268</v>
      </c>
      <c r="H322" s="3">
        <v>3031855</v>
      </c>
      <c r="I322" s="2" t="s">
        <v>11</v>
      </c>
      <c r="J322" s="3">
        <f t="shared" si="4"/>
        <v>252654.58333333334</v>
      </c>
    </row>
    <row r="323" spans="1:10" x14ac:dyDescent="0.35">
      <c r="A323" s="2" t="s">
        <v>9</v>
      </c>
      <c r="B323" s="2" t="s">
        <v>15</v>
      </c>
      <c r="C323" s="2" t="s">
        <v>18</v>
      </c>
      <c r="D323" s="2" t="s">
        <v>28</v>
      </c>
      <c r="E323" s="2" t="s">
        <v>34</v>
      </c>
      <c r="F323" s="2" t="s">
        <v>39</v>
      </c>
      <c r="G323" s="3">
        <v>571160</v>
      </c>
      <c r="H323" s="3">
        <v>443429</v>
      </c>
      <c r="I323" s="2" t="s">
        <v>9</v>
      </c>
      <c r="J323" s="3">
        <f t="shared" ref="J323:J386" si="5">H323/12</f>
        <v>36952.416666666664</v>
      </c>
    </row>
    <row r="324" spans="1:10" x14ac:dyDescent="0.35">
      <c r="A324" s="2" t="s">
        <v>11</v>
      </c>
      <c r="B324" s="2" t="s">
        <v>15</v>
      </c>
      <c r="C324" s="2" t="s">
        <v>18</v>
      </c>
      <c r="D324" s="2" t="s">
        <v>26</v>
      </c>
      <c r="E324" s="2" t="s">
        <v>35</v>
      </c>
      <c r="F324" s="2" t="s">
        <v>38</v>
      </c>
      <c r="G324" s="3">
        <v>735624</v>
      </c>
      <c r="H324" s="3">
        <v>586243</v>
      </c>
      <c r="I324" s="2" t="s">
        <v>11</v>
      </c>
      <c r="J324" s="3">
        <f t="shared" si="5"/>
        <v>48853.583333333336</v>
      </c>
    </row>
    <row r="325" spans="1:10" x14ac:dyDescent="0.35">
      <c r="A325" s="2" t="s">
        <v>10</v>
      </c>
      <c r="B325" s="2" t="s">
        <v>15</v>
      </c>
      <c r="C325" s="2" t="s">
        <v>18</v>
      </c>
      <c r="D325" s="2" t="s">
        <v>25</v>
      </c>
      <c r="E325" s="2" t="s">
        <v>34</v>
      </c>
      <c r="F325" s="2" t="s">
        <v>36</v>
      </c>
      <c r="G325" s="3">
        <v>1446747</v>
      </c>
      <c r="H325" s="3">
        <v>1032199</v>
      </c>
      <c r="I325" s="2" t="s">
        <v>40</v>
      </c>
      <c r="J325" s="3">
        <f t="shared" si="5"/>
        <v>86016.583333333328</v>
      </c>
    </row>
    <row r="326" spans="1:10" x14ac:dyDescent="0.35">
      <c r="A326" s="2" t="s">
        <v>11</v>
      </c>
      <c r="B326" s="2" t="s">
        <v>17</v>
      </c>
      <c r="C326" s="2" t="s">
        <v>19</v>
      </c>
      <c r="D326" s="2" t="s">
        <v>24</v>
      </c>
      <c r="E326" s="2" t="s">
        <v>33</v>
      </c>
      <c r="F326" s="2" t="s">
        <v>36</v>
      </c>
      <c r="G326" s="3">
        <v>1488415</v>
      </c>
      <c r="H326" s="3">
        <v>1136392</v>
      </c>
      <c r="I326" s="2" t="s">
        <v>11</v>
      </c>
      <c r="J326" s="3">
        <f t="shared" si="5"/>
        <v>94699.333333333328</v>
      </c>
    </row>
    <row r="327" spans="1:10" x14ac:dyDescent="0.35">
      <c r="A327" s="2" t="s">
        <v>9</v>
      </c>
      <c r="B327" s="2" t="s">
        <v>15</v>
      </c>
      <c r="C327" s="2" t="s">
        <v>18</v>
      </c>
      <c r="D327" s="2" t="s">
        <v>27</v>
      </c>
      <c r="E327" s="2" t="s">
        <v>32</v>
      </c>
      <c r="F327" s="2" t="s">
        <v>36</v>
      </c>
      <c r="G327" s="3">
        <v>775283</v>
      </c>
      <c r="H327" s="3">
        <v>579273</v>
      </c>
      <c r="I327" s="2" t="s">
        <v>9</v>
      </c>
      <c r="J327" s="3">
        <f t="shared" si="5"/>
        <v>48272.75</v>
      </c>
    </row>
    <row r="328" spans="1:10" x14ac:dyDescent="0.35">
      <c r="A328" s="2" t="s">
        <v>10</v>
      </c>
      <c r="B328" s="2" t="s">
        <v>15</v>
      </c>
      <c r="C328" s="2" t="s">
        <v>19</v>
      </c>
      <c r="D328" s="2" t="s">
        <v>28</v>
      </c>
      <c r="E328" s="2" t="s">
        <v>31</v>
      </c>
      <c r="F328" s="2" t="s">
        <v>38</v>
      </c>
      <c r="G328" s="3">
        <v>1029505</v>
      </c>
      <c r="H328" s="3">
        <v>781715</v>
      </c>
      <c r="I328" s="2" t="s">
        <v>40</v>
      </c>
      <c r="J328" s="3">
        <f t="shared" si="5"/>
        <v>65142.916666666664</v>
      </c>
    </row>
    <row r="329" spans="1:10" x14ac:dyDescent="0.35">
      <c r="A329" s="2" t="s">
        <v>13</v>
      </c>
      <c r="B329" s="2" t="s">
        <v>15</v>
      </c>
      <c r="C329" s="2" t="s">
        <v>18</v>
      </c>
      <c r="D329" s="2" t="s">
        <v>26</v>
      </c>
      <c r="E329" s="2" t="s">
        <v>31</v>
      </c>
      <c r="F329" s="2" t="s">
        <v>37</v>
      </c>
      <c r="G329" s="3">
        <v>527126</v>
      </c>
      <c r="H329" s="3">
        <v>407973</v>
      </c>
      <c r="I329" s="2" t="s">
        <v>9</v>
      </c>
      <c r="J329" s="3">
        <f t="shared" si="5"/>
        <v>33997.75</v>
      </c>
    </row>
    <row r="330" spans="1:10" x14ac:dyDescent="0.35">
      <c r="A330" s="2" t="s">
        <v>11</v>
      </c>
      <c r="B330" s="2" t="s">
        <v>15</v>
      </c>
      <c r="C330" s="2" t="s">
        <v>18</v>
      </c>
      <c r="D330" s="2" t="s">
        <v>27</v>
      </c>
      <c r="E330" s="2" t="s">
        <v>35</v>
      </c>
      <c r="F330" s="2" t="s">
        <v>38</v>
      </c>
      <c r="G330" s="3">
        <v>951085</v>
      </c>
      <c r="H330" s="3">
        <v>705364</v>
      </c>
      <c r="I330" s="2" t="s">
        <v>11</v>
      </c>
      <c r="J330" s="3">
        <f t="shared" si="5"/>
        <v>58780.333333333336</v>
      </c>
    </row>
    <row r="331" spans="1:10" x14ac:dyDescent="0.35">
      <c r="A331" s="2" t="s">
        <v>11</v>
      </c>
      <c r="B331" s="2" t="s">
        <v>15</v>
      </c>
      <c r="C331" s="2" t="s">
        <v>19</v>
      </c>
      <c r="D331" s="2" t="s">
        <v>26</v>
      </c>
      <c r="E331" s="2" t="s">
        <v>31</v>
      </c>
      <c r="F331" s="2" t="s">
        <v>39</v>
      </c>
      <c r="G331" s="3">
        <v>560856</v>
      </c>
      <c r="H331" s="3">
        <v>445028</v>
      </c>
      <c r="I331" s="2" t="s">
        <v>11</v>
      </c>
      <c r="J331" s="3">
        <f t="shared" si="5"/>
        <v>37085.666666666664</v>
      </c>
    </row>
    <row r="332" spans="1:10" x14ac:dyDescent="0.35">
      <c r="A332" s="2" t="s">
        <v>10</v>
      </c>
      <c r="B332" s="2" t="s">
        <v>15</v>
      </c>
      <c r="C332" s="2" t="s">
        <v>19</v>
      </c>
      <c r="D332" s="2" t="s">
        <v>27</v>
      </c>
      <c r="E332" s="2" t="s">
        <v>32</v>
      </c>
      <c r="F332" s="2" t="s">
        <v>39</v>
      </c>
      <c r="G332" s="3">
        <v>1565421</v>
      </c>
      <c r="H332" s="3">
        <v>1196913</v>
      </c>
      <c r="I332" s="2" t="s">
        <v>40</v>
      </c>
      <c r="J332" s="3">
        <f t="shared" si="5"/>
        <v>99742.75</v>
      </c>
    </row>
    <row r="333" spans="1:10" x14ac:dyDescent="0.35">
      <c r="A333" s="2" t="s">
        <v>10</v>
      </c>
      <c r="B333" s="2" t="s">
        <v>15</v>
      </c>
      <c r="C333" s="2" t="s">
        <v>18</v>
      </c>
      <c r="D333" s="2" t="s">
        <v>21</v>
      </c>
      <c r="E333" s="2" t="s">
        <v>34</v>
      </c>
      <c r="F333" s="2" t="s">
        <v>39</v>
      </c>
      <c r="G333" s="3">
        <v>791069</v>
      </c>
      <c r="H333" s="3">
        <v>618247</v>
      </c>
      <c r="I333" s="2" t="s">
        <v>40</v>
      </c>
      <c r="J333" s="3">
        <f t="shared" si="5"/>
        <v>51520.583333333336</v>
      </c>
    </row>
    <row r="334" spans="1:10" x14ac:dyDescent="0.35">
      <c r="A334" s="2" t="s">
        <v>11</v>
      </c>
      <c r="B334" s="2" t="s">
        <v>16</v>
      </c>
      <c r="C334" s="2" t="s">
        <v>19</v>
      </c>
      <c r="D334" s="2" t="s">
        <v>20</v>
      </c>
      <c r="E334" s="2" t="s">
        <v>33</v>
      </c>
      <c r="F334" s="2" t="s">
        <v>38</v>
      </c>
      <c r="G334" s="3">
        <v>4730618</v>
      </c>
      <c r="H334" s="3">
        <v>3496699</v>
      </c>
      <c r="I334" s="2" t="s">
        <v>11</v>
      </c>
      <c r="J334" s="3">
        <f t="shared" si="5"/>
        <v>291391.58333333331</v>
      </c>
    </row>
    <row r="335" spans="1:10" x14ac:dyDescent="0.35">
      <c r="A335" s="2" t="s">
        <v>10</v>
      </c>
      <c r="B335" s="2" t="s">
        <v>15</v>
      </c>
      <c r="C335" s="2" t="s">
        <v>19</v>
      </c>
      <c r="D335" s="2" t="s">
        <v>23</v>
      </c>
      <c r="E335" s="2" t="s">
        <v>33</v>
      </c>
      <c r="F335" s="2" t="s">
        <v>36</v>
      </c>
      <c r="G335" s="3">
        <v>758470</v>
      </c>
      <c r="H335" s="3">
        <v>536454</v>
      </c>
      <c r="I335" s="2" t="s">
        <v>40</v>
      </c>
      <c r="J335" s="3">
        <f t="shared" si="5"/>
        <v>44704.5</v>
      </c>
    </row>
    <row r="336" spans="1:10" x14ac:dyDescent="0.35">
      <c r="A336" s="2" t="s">
        <v>13</v>
      </c>
      <c r="B336" s="2" t="s">
        <v>17</v>
      </c>
      <c r="C336" s="2" t="s">
        <v>18</v>
      </c>
      <c r="D336" s="2" t="s">
        <v>26</v>
      </c>
      <c r="E336" s="2" t="s">
        <v>29</v>
      </c>
      <c r="F336" s="2" t="s">
        <v>37</v>
      </c>
      <c r="G336" s="3">
        <v>1884386</v>
      </c>
      <c r="H336" s="3">
        <v>1421684</v>
      </c>
      <c r="I336" s="2" t="s">
        <v>9</v>
      </c>
      <c r="J336" s="3">
        <f t="shared" si="5"/>
        <v>118473.66666666667</v>
      </c>
    </row>
    <row r="337" spans="1:10" x14ac:dyDescent="0.35">
      <c r="A337" s="2" t="s">
        <v>12</v>
      </c>
      <c r="B337" s="2" t="s">
        <v>15</v>
      </c>
      <c r="C337" s="2" t="s">
        <v>18</v>
      </c>
      <c r="D337" s="2" t="s">
        <v>25</v>
      </c>
      <c r="E337" s="2" t="s">
        <v>29</v>
      </c>
      <c r="F337" s="2" t="s">
        <v>39</v>
      </c>
      <c r="G337" s="3">
        <v>633204</v>
      </c>
      <c r="H337" s="3">
        <v>463404</v>
      </c>
      <c r="I337" s="2" t="s">
        <v>11</v>
      </c>
      <c r="J337" s="3">
        <f t="shared" si="5"/>
        <v>38617</v>
      </c>
    </row>
    <row r="338" spans="1:10" x14ac:dyDescent="0.35">
      <c r="A338" s="2" t="s">
        <v>9</v>
      </c>
      <c r="B338" s="2" t="s">
        <v>17</v>
      </c>
      <c r="C338" s="2" t="s">
        <v>19</v>
      </c>
      <c r="D338" s="2" t="s">
        <v>26</v>
      </c>
      <c r="E338" s="2" t="s">
        <v>34</v>
      </c>
      <c r="F338" s="2" t="s">
        <v>38</v>
      </c>
      <c r="G338" s="3">
        <v>1127875</v>
      </c>
      <c r="H338" s="3">
        <v>841499</v>
      </c>
      <c r="I338" s="2" t="s">
        <v>9</v>
      </c>
      <c r="J338" s="3">
        <f t="shared" si="5"/>
        <v>70124.916666666672</v>
      </c>
    </row>
    <row r="339" spans="1:10" x14ac:dyDescent="0.35">
      <c r="A339" s="2" t="s">
        <v>13</v>
      </c>
      <c r="B339" s="2" t="s">
        <v>15</v>
      </c>
      <c r="C339" s="2" t="s">
        <v>19</v>
      </c>
      <c r="D339" s="2" t="s">
        <v>21</v>
      </c>
      <c r="E339" s="2" t="s">
        <v>29</v>
      </c>
      <c r="F339" s="2" t="s">
        <v>39</v>
      </c>
      <c r="G339" s="3">
        <v>534399</v>
      </c>
      <c r="H339" s="3">
        <v>428824</v>
      </c>
      <c r="I339" s="2" t="s">
        <v>9</v>
      </c>
      <c r="J339" s="3">
        <f t="shared" si="5"/>
        <v>35735.333333333336</v>
      </c>
    </row>
    <row r="340" spans="1:10" x14ac:dyDescent="0.35">
      <c r="A340" s="2" t="s">
        <v>13</v>
      </c>
      <c r="B340" s="2" t="s">
        <v>15</v>
      </c>
      <c r="C340" s="2" t="s">
        <v>19</v>
      </c>
      <c r="D340" s="2" t="s">
        <v>20</v>
      </c>
      <c r="E340" s="2" t="s">
        <v>35</v>
      </c>
      <c r="F340" s="2" t="s">
        <v>39</v>
      </c>
      <c r="G340" s="3">
        <v>569899</v>
      </c>
      <c r="H340" s="3">
        <v>441143</v>
      </c>
      <c r="I340" s="2" t="s">
        <v>9</v>
      </c>
      <c r="J340" s="3">
        <f t="shared" si="5"/>
        <v>36761.916666666664</v>
      </c>
    </row>
    <row r="341" spans="1:10" x14ac:dyDescent="0.35">
      <c r="A341" s="2" t="s">
        <v>13</v>
      </c>
      <c r="B341" s="2" t="s">
        <v>17</v>
      </c>
      <c r="C341" s="2" t="s">
        <v>19</v>
      </c>
      <c r="D341" s="2" t="s">
        <v>26</v>
      </c>
      <c r="E341" s="2" t="s">
        <v>29</v>
      </c>
      <c r="F341" s="2" t="s">
        <v>37</v>
      </c>
      <c r="G341" s="3">
        <v>1473881</v>
      </c>
      <c r="H341" s="3">
        <v>1092909</v>
      </c>
      <c r="I341" s="2" t="s">
        <v>9</v>
      </c>
      <c r="J341" s="3">
        <f t="shared" si="5"/>
        <v>91075.75</v>
      </c>
    </row>
    <row r="342" spans="1:10" x14ac:dyDescent="0.35">
      <c r="A342" s="2" t="s">
        <v>14</v>
      </c>
      <c r="B342" s="2" t="s">
        <v>17</v>
      </c>
      <c r="C342" s="2" t="s">
        <v>18</v>
      </c>
      <c r="D342" s="2" t="s">
        <v>25</v>
      </c>
      <c r="E342" s="2" t="s">
        <v>30</v>
      </c>
      <c r="F342" s="2" t="s">
        <v>38</v>
      </c>
      <c r="G342" s="3">
        <v>1684065</v>
      </c>
      <c r="H342" s="3">
        <v>1342450</v>
      </c>
      <c r="I342" s="2" t="s">
        <v>40</v>
      </c>
      <c r="J342" s="3">
        <f t="shared" si="5"/>
        <v>111870.83333333333</v>
      </c>
    </row>
    <row r="343" spans="1:10" x14ac:dyDescent="0.35">
      <c r="A343" s="2" t="s">
        <v>11</v>
      </c>
      <c r="B343" s="2" t="s">
        <v>16</v>
      </c>
      <c r="C343" s="2" t="s">
        <v>18</v>
      </c>
      <c r="D343" s="2" t="s">
        <v>24</v>
      </c>
      <c r="E343" s="2" t="s">
        <v>35</v>
      </c>
      <c r="F343" s="2" t="s">
        <v>38</v>
      </c>
      <c r="G343" s="3">
        <v>4035643</v>
      </c>
      <c r="H343" s="3">
        <v>3229412</v>
      </c>
      <c r="I343" s="2" t="s">
        <v>11</v>
      </c>
      <c r="J343" s="3">
        <f t="shared" si="5"/>
        <v>269117.66666666669</v>
      </c>
    </row>
    <row r="344" spans="1:10" x14ac:dyDescent="0.35">
      <c r="A344" s="2" t="s">
        <v>9</v>
      </c>
      <c r="B344" s="2" t="s">
        <v>16</v>
      </c>
      <c r="C344" s="2" t="s">
        <v>18</v>
      </c>
      <c r="D344" s="2" t="s">
        <v>24</v>
      </c>
      <c r="E344" s="2" t="s">
        <v>31</v>
      </c>
      <c r="F344" s="2" t="s">
        <v>37</v>
      </c>
      <c r="G344" s="3">
        <v>2004091</v>
      </c>
      <c r="H344" s="3">
        <v>1635971</v>
      </c>
      <c r="I344" s="2" t="s">
        <v>9</v>
      </c>
      <c r="J344" s="3">
        <f t="shared" si="5"/>
        <v>136330.91666666666</v>
      </c>
    </row>
    <row r="345" spans="1:10" x14ac:dyDescent="0.35">
      <c r="A345" s="2" t="s">
        <v>14</v>
      </c>
      <c r="B345" s="2" t="s">
        <v>17</v>
      </c>
      <c r="C345" s="2" t="s">
        <v>18</v>
      </c>
      <c r="D345" s="2" t="s">
        <v>27</v>
      </c>
      <c r="E345" s="2" t="s">
        <v>29</v>
      </c>
      <c r="F345" s="2" t="s">
        <v>38</v>
      </c>
      <c r="G345" s="3">
        <v>2266353</v>
      </c>
      <c r="H345" s="3">
        <v>1814422</v>
      </c>
      <c r="I345" s="2" t="s">
        <v>40</v>
      </c>
      <c r="J345" s="3">
        <f t="shared" si="5"/>
        <v>151201.83333333334</v>
      </c>
    </row>
    <row r="346" spans="1:10" x14ac:dyDescent="0.35">
      <c r="A346" s="2" t="s">
        <v>14</v>
      </c>
      <c r="B346" s="2" t="s">
        <v>16</v>
      </c>
      <c r="C346" s="2" t="s">
        <v>18</v>
      </c>
      <c r="D346" s="2" t="s">
        <v>27</v>
      </c>
      <c r="E346" s="2" t="s">
        <v>30</v>
      </c>
      <c r="F346" s="2" t="s">
        <v>37</v>
      </c>
      <c r="G346" s="3">
        <v>4410023</v>
      </c>
      <c r="H346" s="3">
        <v>3219021</v>
      </c>
      <c r="I346" s="2" t="s">
        <v>40</v>
      </c>
      <c r="J346" s="3">
        <f t="shared" si="5"/>
        <v>268251.75</v>
      </c>
    </row>
    <row r="347" spans="1:10" x14ac:dyDescent="0.35">
      <c r="A347" s="2" t="s">
        <v>10</v>
      </c>
      <c r="B347" s="2" t="s">
        <v>16</v>
      </c>
      <c r="C347" s="2" t="s">
        <v>18</v>
      </c>
      <c r="D347" s="2" t="s">
        <v>24</v>
      </c>
      <c r="E347" s="2" t="s">
        <v>34</v>
      </c>
      <c r="F347" s="2" t="s">
        <v>38</v>
      </c>
      <c r="G347" s="3">
        <v>6864015</v>
      </c>
      <c r="H347" s="3">
        <v>5325125</v>
      </c>
      <c r="I347" s="2" t="s">
        <v>40</v>
      </c>
      <c r="J347" s="3">
        <f t="shared" si="5"/>
        <v>443760.41666666669</v>
      </c>
    </row>
    <row r="348" spans="1:10" x14ac:dyDescent="0.35">
      <c r="A348" s="2" t="s">
        <v>13</v>
      </c>
      <c r="B348" s="2" t="s">
        <v>17</v>
      </c>
      <c r="C348" s="2" t="s">
        <v>19</v>
      </c>
      <c r="D348" s="2" t="s">
        <v>28</v>
      </c>
      <c r="E348" s="2" t="s">
        <v>30</v>
      </c>
      <c r="F348" s="2" t="s">
        <v>38</v>
      </c>
      <c r="G348" s="3">
        <v>2482242</v>
      </c>
      <c r="H348" s="3">
        <v>1972773</v>
      </c>
      <c r="I348" s="2" t="s">
        <v>9</v>
      </c>
      <c r="J348" s="3">
        <f t="shared" si="5"/>
        <v>164397.75</v>
      </c>
    </row>
    <row r="349" spans="1:10" x14ac:dyDescent="0.35">
      <c r="A349" s="2" t="s">
        <v>10</v>
      </c>
      <c r="B349" s="2" t="s">
        <v>15</v>
      </c>
      <c r="C349" s="2" t="s">
        <v>19</v>
      </c>
      <c r="D349" s="2" t="s">
        <v>25</v>
      </c>
      <c r="E349" s="2" t="s">
        <v>33</v>
      </c>
      <c r="F349" s="2" t="s">
        <v>36</v>
      </c>
      <c r="G349" s="3">
        <v>838156</v>
      </c>
      <c r="H349" s="3">
        <v>640393</v>
      </c>
      <c r="I349" s="2" t="s">
        <v>40</v>
      </c>
      <c r="J349" s="3">
        <f t="shared" si="5"/>
        <v>53366.083333333336</v>
      </c>
    </row>
    <row r="350" spans="1:10" x14ac:dyDescent="0.35">
      <c r="A350" s="2" t="s">
        <v>9</v>
      </c>
      <c r="B350" s="2" t="s">
        <v>16</v>
      </c>
      <c r="C350" s="2" t="s">
        <v>18</v>
      </c>
      <c r="D350" s="2" t="s">
        <v>26</v>
      </c>
      <c r="E350" s="2" t="s">
        <v>33</v>
      </c>
      <c r="F350" s="2" t="s">
        <v>36</v>
      </c>
      <c r="G350" s="3">
        <v>2666841</v>
      </c>
      <c r="H350" s="3">
        <v>2089177</v>
      </c>
      <c r="I350" s="2" t="s">
        <v>9</v>
      </c>
      <c r="J350" s="3">
        <f t="shared" si="5"/>
        <v>174098.08333333334</v>
      </c>
    </row>
    <row r="351" spans="1:10" x14ac:dyDescent="0.35">
      <c r="A351" s="2" t="s">
        <v>13</v>
      </c>
      <c r="B351" s="2" t="s">
        <v>17</v>
      </c>
      <c r="C351" s="2" t="s">
        <v>19</v>
      </c>
      <c r="D351" s="2" t="s">
        <v>28</v>
      </c>
      <c r="E351" s="2" t="s">
        <v>34</v>
      </c>
      <c r="F351" s="2" t="s">
        <v>36</v>
      </c>
      <c r="G351" s="3">
        <v>2376492</v>
      </c>
      <c r="H351" s="3">
        <v>1694348</v>
      </c>
      <c r="I351" s="2" t="s">
        <v>9</v>
      </c>
      <c r="J351" s="3">
        <f t="shared" si="5"/>
        <v>141195.66666666666</v>
      </c>
    </row>
    <row r="352" spans="1:10" x14ac:dyDescent="0.35">
      <c r="A352" s="2" t="s">
        <v>13</v>
      </c>
      <c r="B352" s="2" t="s">
        <v>17</v>
      </c>
      <c r="C352" s="2" t="s">
        <v>18</v>
      </c>
      <c r="D352" s="2" t="s">
        <v>26</v>
      </c>
      <c r="E352" s="2" t="s">
        <v>30</v>
      </c>
      <c r="F352" s="2" t="s">
        <v>39</v>
      </c>
      <c r="G352" s="3">
        <v>2487113</v>
      </c>
      <c r="H352" s="3">
        <v>1917891</v>
      </c>
      <c r="I352" s="2" t="s">
        <v>9</v>
      </c>
      <c r="J352" s="3">
        <f t="shared" si="5"/>
        <v>159824.25</v>
      </c>
    </row>
    <row r="353" spans="1:10" x14ac:dyDescent="0.35">
      <c r="A353" s="2" t="s">
        <v>11</v>
      </c>
      <c r="B353" s="2" t="s">
        <v>17</v>
      </c>
      <c r="C353" s="2" t="s">
        <v>19</v>
      </c>
      <c r="D353" s="2" t="s">
        <v>26</v>
      </c>
      <c r="E353" s="2" t="s">
        <v>35</v>
      </c>
      <c r="F353" s="2" t="s">
        <v>36</v>
      </c>
      <c r="G353" s="3">
        <v>1254795</v>
      </c>
      <c r="H353" s="3">
        <v>959590</v>
      </c>
      <c r="I353" s="2" t="s">
        <v>11</v>
      </c>
      <c r="J353" s="3">
        <f t="shared" si="5"/>
        <v>79965.833333333328</v>
      </c>
    </row>
    <row r="354" spans="1:10" x14ac:dyDescent="0.35">
      <c r="A354" s="2" t="s">
        <v>13</v>
      </c>
      <c r="B354" s="2" t="s">
        <v>16</v>
      </c>
      <c r="C354" s="2" t="s">
        <v>19</v>
      </c>
      <c r="D354" s="2" t="s">
        <v>26</v>
      </c>
      <c r="E354" s="2" t="s">
        <v>35</v>
      </c>
      <c r="F354" s="2" t="s">
        <v>36</v>
      </c>
      <c r="G354" s="3">
        <v>4887040</v>
      </c>
      <c r="H354" s="3">
        <v>3804734</v>
      </c>
      <c r="I354" s="2" t="s">
        <v>9</v>
      </c>
      <c r="J354" s="3">
        <f t="shared" si="5"/>
        <v>317061.16666666669</v>
      </c>
    </row>
    <row r="355" spans="1:10" x14ac:dyDescent="0.35">
      <c r="A355" s="2" t="s">
        <v>12</v>
      </c>
      <c r="B355" s="2" t="s">
        <v>17</v>
      </c>
      <c r="C355" s="2" t="s">
        <v>18</v>
      </c>
      <c r="D355" s="2" t="s">
        <v>28</v>
      </c>
      <c r="E355" s="2" t="s">
        <v>35</v>
      </c>
      <c r="F355" s="2" t="s">
        <v>38</v>
      </c>
      <c r="G355" s="3">
        <v>1480010</v>
      </c>
      <c r="H355" s="3">
        <v>1110614</v>
      </c>
      <c r="I355" s="2" t="s">
        <v>11</v>
      </c>
      <c r="J355" s="3">
        <f t="shared" si="5"/>
        <v>92551.166666666672</v>
      </c>
    </row>
    <row r="356" spans="1:10" x14ac:dyDescent="0.35">
      <c r="A356" s="2" t="s">
        <v>14</v>
      </c>
      <c r="B356" s="2" t="s">
        <v>17</v>
      </c>
      <c r="C356" s="2" t="s">
        <v>18</v>
      </c>
      <c r="D356" s="2" t="s">
        <v>26</v>
      </c>
      <c r="E356" s="2" t="s">
        <v>35</v>
      </c>
      <c r="F356" s="2" t="s">
        <v>37</v>
      </c>
      <c r="G356" s="3">
        <v>2223747</v>
      </c>
      <c r="H356" s="3">
        <v>1594594</v>
      </c>
      <c r="I356" s="2" t="s">
        <v>40</v>
      </c>
      <c r="J356" s="3">
        <f t="shared" si="5"/>
        <v>132882.83333333334</v>
      </c>
    </row>
    <row r="357" spans="1:10" x14ac:dyDescent="0.35">
      <c r="A357" s="2" t="s">
        <v>13</v>
      </c>
      <c r="B357" s="2" t="s">
        <v>16</v>
      </c>
      <c r="C357" s="2" t="s">
        <v>19</v>
      </c>
      <c r="D357" s="2" t="s">
        <v>28</v>
      </c>
      <c r="E357" s="2" t="s">
        <v>31</v>
      </c>
      <c r="F357" s="2" t="s">
        <v>36</v>
      </c>
      <c r="G357" s="3">
        <v>4298447</v>
      </c>
      <c r="H357" s="3">
        <v>3037950</v>
      </c>
      <c r="I357" s="2" t="s">
        <v>9</v>
      </c>
      <c r="J357" s="3">
        <f t="shared" si="5"/>
        <v>253162.5</v>
      </c>
    </row>
    <row r="358" spans="1:10" x14ac:dyDescent="0.35">
      <c r="A358" s="2" t="s">
        <v>10</v>
      </c>
      <c r="B358" s="2" t="s">
        <v>16</v>
      </c>
      <c r="C358" s="2" t="s">
        <v>19</v>
      </c>
      <c r="D358" s="2" t="s">
        <v>20</v>
      </c>
      <c r="E358" s="2" t="s">
        <v>31</v>
      </c>
      <c r="F358" s="2" t="s">
        <v>38</v>
      </c>
      <c r="G358" s="3">
        <v>3795741</v>
      </c>
      <c r="H358" s="3">
        <v>3008970</v>
      </c>
      <c r="I358" s="2" t="s">
        <v>40</v>
      </c>
      <c r="J358" s="3">
        <f t="shared" si="5"/>
        <v>250747.5</v>
      </c>
    </row>
    <row r="359" spans="1:10" x14ac:dyDescent="0.35">
      <c r="A359" s="2" t="s">
        <v>10</v>
      </c>
      <c r="B359" s="2" t="s">
        <v>15</v>
      </c>
      <c r="C359" s="2" t="s">
        <v>19</v>
      </c>
      <c r="D359" s="2" t="s">
        <v>23</v>
      </c>
      <c r="E359" s="2" t="s">
        <v>33</v>
      </c>
      <c r="F359" s="2" t="s">
        <v>38</v>
      </c>
      <c r="G359" s="3">
        <v>740786</v>
      </c>
      <c r="H359" s="3">
        <v>533041</v>
      </c>
      <c r="I359" s="2" t="s">
        <v>40</v>
      </c>
      <c r="J359" s="3">
        <f t="shared" si="5"/>
        <v>44420.083333333336</v>
      </c>
    </row>
    <row r="360" spans="1:10" x14ac:dyDescent="0.35">
      <c r="A360" s="2" t="s">
        <v>9</v>
      </c>
      <c r="B360" s="2" t="s">
        <v>16</v>
      </c>
      <c r="C360" s="2" t="s">
        <v>18</v>
      </c>
      <c r="D360" s="2" t="s">
        <v>25</v>
      </c>
      <c r="E360" s="2" t="s">
        <v>32</v>
      </c>
      <c r="F360" s="2" t="s">
        <v>37</v>
      </c>
      <c r="G360" s="3">
        <v>2157593</v>
      </c>
      <c r="H360" s="3">
        <v>1674902</v>
      </c>
      <c r="I360" s="2" t="s">
        <v>9</v>
      </c>
      <c r="J360" s="3">
        <f t="shared" si="5"/>
        <v>139575.16666666666</v>
      </c>
    </row>
    <row r="361" spans="1:10" x14ac:dyDescent="0.35">
      <c r="A361" s="2" t="s">
        <v>11</v>
      </c>
      <c r="B361" s="2" t="s">
        <v>15</v>
      </c>
      <c r="C361" s="2" t="s">
        <v>18</v>
      </c>
      <c r="D361" s="2" t="s">
        <v>27</v>
      </c>
      <c r="E361" s="2" t="s">
        <v>33</v>
      </c>
      <c r="F361" s="2" t="s">
        <v>37</v>
      </c>
      <c r="G361" s="3">
        <v>1092564</v>
      </c>
      <c r="H361" s="3">
        <v>875646</v>
      </c>
      <c r="I361" s="2" t="s">
        <v>11</v>
      </c>
      <c r="J361" s="3">
        <f t="shared" si="5"/>
        <v>72970.5</v>
      </c>
    </row>
    <row r="362" spans="1:10" x14ac:dyDescent="0.35">
      <c r="A362" s="2" t="s">
        <v>11</v>
      </c>
      <c r="B362" s="2" t="s">
        <v>16</v>
      </c>
      <c r="C362" s="2" t="s">
        <v>18</v>
      </c>
      <c r="D362" s="2" t="s">
        <v>22</v>
      </c>
      <c r="E362" s="2" t="s">
        <v>29</v>
      </c>
      <c r="F362" s="2" t="s">
        <v>39</v>
      </c>
      <c r="G362" s="3">
        <v>3764573</v>
      </c>
      <c r="H362" s="3">
        <v>2793314</v>
      </c>
      <c r="I362" s="2" t="s">
        <v>11</v>
      </c>
      <c r="J362" s="3">
        <f t="shared" si="5"/>
        <v>232776.16666666666</v>
      </c>
    </row>
    <row r="363" spans="1:10" x14ac:dyDescent="0.35">
      <c r="A363" s="2" t="s">
        <v>9</v>
      </c>
      <c r="B363" s="2" t="s">
        <v>15</v>
      </c>
      <c r="C363" s="2" t="s">
        <v>19</v>
      </c>
      <c r="D363" s="2" t="s">
        <v>23</v>
      </c>
      <c r="E363" s="2" t="s">
        <v>34</v>
      </c>
      <c r="F363" s="2" t="s">
        <v>36</v>
      </c>
      <c r="G363" s="3">
        <v>559614</v>
      </c>
      <c r="H363" s="3">
        <v>412262</v>
      </c>
      <c r="I363" s="2" t="s">
        <v>9</v>
      </c>
      <c r="J363" s="3">
        <f t="shared" si="5"/>
        <v>34355.166666666664</v>
      </c>
    </row>
    <row r="364" spans="1:10" x14ac:dyDescent="0.35">
      <c r="A364" s="2" t="s">
        <v>12</v>
      </c>
      <c r="B364" s="2" t="s">
        <v>17</v>
      </c>
      <c r="C364" s="2" t="s">
        <v>19</v>
      </c>
      <c r="D364" s="2" t="s">
        <v>26</v>
      </c>
      <c r="E364" s="2" t="s">
        <v>30</v>
      </c>
      <c r="F364" s="2" t="s">
        <v>36</v>
      </c>
      <c r="G364" s="3">
        <v>2474087</v>
      </c>
      <c r="H364" s="3">
        <v>1886638</v>
      </c>
      <c r="I364" s="2" t="s">
        <v>11</v>
      </c>
      <c r="J364" s="3">
        <f t="shared" si="5"/>
        <v>157219.83333333334</v>
      </c>
    </row>
    <row r="365" spans="1:10" x14ac:dyDescent="0.35">
      <c r="A365" s="2" t="s">
        <v>9</v>
      </c>
      <c r="B365" s="2" t="s">
        <v>15</v>
      </c>
      <c r="C365" s="2" t="s">
        <v>19</v>
      </c>
      <c r="D365" s="2" t="s">
        <v>26</v>
      </c>
      <c r="E365" s="2" t="s">
        <v>30</v>
      </c>
      <c r="F365" s="2" t="s">
        <v>37</v>
      </c>
      <c r="G365" s="3">
        <v>633463</v>
      </c>
      <c r="H365" s="3">
        <v>456267</v>
      </c>
      <c r="I365" s="2" t="s">
        <v>9</v>
      </c>
      <c r="J365" s="3">
        <f t="shared" si="5"/>
        <v>38022.25</v>
      </c>
    </row>
    <row r="366" spans="1:10" x14ac:dyDescent="0.35">
      <c r="A366" s="2" t="s">
        <v>11</v>
      </c>
      <c r="B366" s="2" t="s">
        <v>16</v>
      </c>
      <c r="C366" s="2" t="s">
        <v>18</v>
      </c>
      <c r="D366" s="2" t="s">
        <v>24</v>
      </c>
      <c r="E366" s="2" t="s">
        <v>31</v>
      </c>
      <c r="F366" s="2" t="s">
        <v>38</v>
      </c>
      <c r="G366" s="3">
        <v>5438610</v>
      </c>
      <c r="H366" s="3">
        <v>4064037</v>
      </c>
      <c r="I366" s="2" t="s">
        <v>11</v>
      </c>
      <c r="J366" s="3">
        <f t="shared" si="5"/>
        <v>338669.75</v>
      </c>
    </row>
    <row r="367" spans="1:10" x14ac:dyDescent="0.35">
      <c r="A367" s="2" t="s">
        <v>12</v>
      </c>
      <c r="B367" s="2" t="s">
        <v>16</v>
      </c>
      <c r="C367" s="2" t="s">
        <v>18</v>
      </c>
      <c r="D367" s="2" t="s">
        <v>28</v>
      </c>
      <c r="E367" s="2" t="s">
        <v>33</v>
      </c>
      <c r="F367" s="2" t="s">
        <v>38</v>
      </c>
      <c r="G367" s="3">
        <v>2594335</v>
      </c>
      <c r="H367" s="3">
        <v>2056625</v>
      </c>
      <c r="I367" s="2" t="s">
        <v>11</v>
      </c>
      <c r="J367" s="3">
        <f t="shared" si="5"/>
        <v>171385.41666666666</v>
      </c>
    </row>
    <row r="368" spans="1:10" x14ac:dyDescent="0.35">
      <c r="A368" s="2" t="s">
        <v>12</v>
      </c>
      <c r="B368" s="2" t="s">
        <v>16</v>
      </c>
      <c r="C368" s="2" t="s">
        <v>19</v>
      </c>
      <c r="D368" s="2" t="s">
        <v>22</v>
      </c>
      <c r="E368" s="2" t="s">
        <v>30</v>
      </c>
      <c r="F368" s="2" t="s">
        <v>37</v>
      </c>
      <c r="G368" s="3">
        <v>5388549</v>
      </c>
      <c r="H368" s="3">
        <v>4162599</v>
      </c>
      <c r="I368" s="2" t="s">
        <v>11</v>
      </c>
      <c r="J368" s="3">
        <f t="shared" si="5"/>
        <v>346883.25</v>
      </c>
    </row>
    <row r="369" spans="1:10" x14ac:dyDescent="0.35">
      <c r="A369" s="2" t="s">
        <v>9</v>
      </c>
      <c r="B369" s="2" t="s">
        <v>16</v>
      </c>
      <c r="C369" s="2" t="s">
        <v>19</v>
      </c>
      <c r="D369" s="2" t="s">
        <v>23</v>
      </c>
      <c r="E369" s="2" t="s">
        <v>32</v>
      </c>
      <c r="F369" s="2" t="s">
        <v>38</v>
      </c>
      <c r="G369" s="3">
        <v>2835254</v>
      </c>
      <c r="H369" s="3">
        <v>2324446</v>
      </c>
      <c r="I369" s="2" t="s">
        <v>9</v>
      </c>
      <c r="J369" s="3">
        <f t="shared" si="5"/>
        <v>193703.83333333334</v>
      </c>
    </row>
    <row r="370" spans="1:10" x14ac:dyDescent="0.35">
      <c r="A370" s="2" t="s">
        <v>13</v>
      </c>
      <c r="B370" s="2" t="s">
        <v>16</v>
      </c>
      <c r="C370" s="2" t="s">
        <v>18</v>
      </c>
      <c r="D370" s="2" t="s">
        <v>27</v>
      </c>
      <c r="E370" s="2" t="s">
        <v>31</v>
      </c>
      <c r="F370" s="2" t="s">
        <v>38</v>
      </c>
      <c r="G370" s="3">
        <v>4356241</v>
      </c>
      <c r="H370" s="3">
        <v>3337557</v>
      </c>
      <c r="I370" s="2" t="s">
        <v>9</v>
      </c>
      <c r="J370" s="3">
        <f t="shared" si="5"/>
        <v>278129.75</v>
      </c>
    </row>
    <row r="371" spans="1:10" x14ac:dyDescent="0.35">
      <c r="A371" s="2" t="s">
        <v>13</v>
      </c>
      <c r="B371" s="2" t="s">
        <v>16</v>
      </c>
      <c r="C371" s="2" t="s">
        <v>19</v>
      </c>
      <c r="D371" s="2" t="s">
        <v>24</v>
      </c>
      <c r="E371" s="2" t="s">
        <v>31</v>
      </c>
      <c r="F371" s="2" t="s">
        <v>39</v>
      </c>
      <c r="G371" s="3">
        <v>3275228</v>
      </c>
      <c r="H371" s="3">
        <v>2305313</v>
      </c>
      <c r="I371" s="2" t="s">
        <v>9</v>
      </c>
      <c r="J371" s="3">
        <f t="shared" si="5"/>
        <v>192109.41666666666</v>
      </c>
    </row>
    <row r="372" spans="1:10" x14ac:dyDescent="0.35">
      <c r="A372" s="2" t="s">
        <v>12</v>
      </c>
      <c r="B372" s="2" t="s">
        <v>16</v>
      </c>
      <c r="C372" s="2" t="s">
        <v>19</v>
      </c>
      <c r="D372" s="2" t="s">
        <v>26</v>
      </c>
      <c r="E372" s="2" t="s">
        <v>30</v>
      </c>
      <c r="F372" s="2" t="s">
        <v>37</v>
      </c>
      <c r="G372" s="3">
        <v>5385174</v>
      </c>
      <c r="H372" s="3">
        <v>4037116</v>
      </c>
      <c r="I372" s="2" t="s">
        <v>11</v>
      </c>
      <c r="J372" s="3">
        <f t="shared" si="5"/>
        <v>336426.33333333331</v>
      </c>
    </row>
    <row r="373" spans="1:10" x14ac:dyDescent="0.35">
      <c r="A373" s="2" t="s">
        <v>10</v>
      </c>
      <c r="B373" s="2" t="s">
        <v>17</v>
      </c>
      <c r="C373" s="2" t="s">
        <v>19</v>
      </c>
      <c r="D373" s="2" t="s">
        <v>24</v>
      </c>
      <c r="E373" s="2" t="s">
        <v>35</v>
      </c>
      <c r="F373" s="2" t="s">
        <v>39</v>
      </c>
      <c r="G373" s="3">
        <v>1968876</v>
      </c>
      <c r="H373" s="3">
        <v>1496870</v>
      </c>
      <c r="I373" s="2" t="s">
        <v>40</v>
      </c>
      <c r="J373" s="3">
        <f t="shared" si="5"/>
        <v>124739.16666666667</v>
      </c>
    </row>
    <row r="374" spans="1:10" x14ac:dyDescent="0.35">
      <c r="A374" s="2" t="s">
        <v>14</v>
      </c>
      <c r="B374" s="2" t="s">
        <v>17</v>
      </c>
      <c r="C374" s="2" t="s">
        <v>18</v>
      </c>
      <c r="D374" s="2" t="s">
        <v>26</v>
      </c>
      <c r="E374" s="2" t="s">
        <v>32</v>
      </c>
      <c r="F374" s="2" t="s">
        <v>36</v>
      </c>
      <c r="G374" s="3">
        <v>2738466</v>
      </c>
      <c r="H374" s="3">
        <v>2123627</v>
      </c>
      <c r="I374" s="2" t="s">
        <v>40</v>
      </c>
      <c r="J374" s="3">
        <f t="shared" si="5"/>
        <v>176968.91666666666</v>
      </c>
    </row>
    <row r="375" spans="1:10" x14ac:dyDescent="0.35">
      <c r="A375" s="2" t="s">
        <v>9</v>
      </c>
      <c r="B375" s="2" t="s">
        <v>16</v>
      </c>
      <c r="C375" s="2" t="s">
        <v>19</v>
      </c>
      <c r="D375" s="2" t="s">
        <v>28</v>
      </c>
      <c r="E375" s="2" t="s">
        <v>35</v>
      </c>
      <c r="F375" s="2" t="s">
        <v>38</v>
      </c>
      <c r="G375" s="3">
        <v>1889546</v>
      </c>
      <c r="H375" s="3">
        <v>1325872</v>
      </c>
      <c r="I375" s="2" t="s">
        <v>9</v>
      </c>
      <c r="J375" s="3">
        <f t="shared" si="5"/>
        <v>110489.33333333333</v>
      </c>
    </row>
    <row r="376" spans="1:10" x14ac:dyDescent="0.35">
      <c r="A376" s="2" t="s">
        <v>14</v>
      </c>
      <c r="B376" s="2" t="s">
        <v>16</v>
      </c>
      <c r="C376" s="2" t="s">
        <v>18</v>
      </c>
      <c r="D376" s="2" t="s">
        <v>25</v>
      </c>
      <c r="E376" s="2" t="s">
        <v>30</v>
      </c>
      <c r="F376" s="2" t="s">
        <v>37</v>
      </c>
      <c r="G376" s="3">
        <v>3449978</v>
      </c>
      <c r="H376" s="3">
        <v>2474309</v>
      </c>
      <c r="I376" s="2" t="s">
        <v>40</v>
      </c>
      <c r="J376" s="3">
        <f t="shared" si="5"/>
        <v>206192.41666666666</v>
      </c>
    </row>
    <row r="377" spans="1:10" x14ac:dyDescent="0.35">
      <c r="A377" s="2" t="s">
        <v>11</v>
      </c>
      <c r="B377" s="2" t="s">
        <v>16</v>
      </c>
      <c r="C377" s="2" t="s">
        <v>18</v>
      </c>
      <c r="D377" s="2" t="s">
        <v>22</v>
      </c>
      <c r="E377" s="2" t="s">
        <v>35</v>
      </c>
      <c r="F377" s="2" t="s">
        <v>39</v>
      </c>
      <c r="G377" s="3">
        <v>3424294</v>
      </c>
      <c r="H377" s="3">
        <v>2707496</v>
      </c>
      <c r="I377" s="2" t="s">
        <v>11</v>
      </c>
      <c r="J377" s="3">
        <f t="shared" si="5"/>
        <v>225624.66666666666</v>
      </c>
    </row>
    <row r="378" spans="1:10" x14ac:dyDescent="0.35">
      <c r="A378" s="2" t="s">
        <v>14</v>
      </c>
      <c r="B378" s="2" t="s">
        <v>17</v>
      </c>
      <c r="C378" s="2" t="s">
        <v>19</v>
      </c>
      <c r="D378" s="2" t="s">
        <v>21</v>
      </c>
      <c r="E378" s="2" t="s">
        <v>30</v>
      </c>
      <c r="F378" s="2" t="s">
        <v>39</v>
      </c>
      <c r="G378" s="3">
        <v>2363526</v>
      </c>
      <c r="H378" s="3">
        <v>1677437</v>
      </c>
      <c r="I378" s="2" t="s">
        <v>40</v>
      </c>
      <c r="J378" s="3">
        <f t="shared" si="5"/>
        <v>139786.41666666666</v>
      </c>
    </row>
    <row r="379" spans="1:10" x14ac:dyDescent="0.35">
      <c r="A379" s="2" t="s">
        <v>12</v>
      </c>
      <c r="B379" s="2" t="s">
        <v>17</v>
      </c>
      <c r="C379" s="2" t="s">
        <v>18</v>
      </c>
      <c r="D379" s="2" t="s">
        <v>22</v>
      </c>
      <c r="E379" s="2" t="s">
        <v>31</v>
      </c>
      <c r="F379" s="2" t="s">
        <v>38</v>
      </c>
      <c r="G379" s="3">
        <v>1716337</v>
      </c>
      <c r="H379" s="3">
        <v>1277692</v>
      </c>
      <c r="I379" s="2" t="s">
        <v>11</v>
      </c>
      <c r="J379" s="3">
        <f t="shared" si="5"/>
        <v>106474.33333333333</v>
      </c>
    </row>
    <row r="380" spans="1:10" x14ac:dyDescent="0.35">
      <c r="A380" s="2" t="s">
        <v>10</v>
      </c>
      <c r="B380" s="2" t="s">
        <v>15</v>
      </c>
      <c r="C380" s="2" t="s">
        <v>18</v>
      </c>
      <c r="D380" s="2" t="s">
        <v>28</v>
      </c>
      <c r="E380" s="2" t="s">
        <v>34</v>
      </c>
      <c r="F380" s="2" t="s">
        <v>37</v>
      </c>
      <c r="G380" s="3">
        <v>1233347</v>
      </c>
      <c r="H380" s="3">
        <v>950819</v>
      </c>
      <c r="I380" s="2" t="s">
        <v>40</v>
      </c>
      <c r="J380" s="3">
        <f t="shared" si="5"/>
        <v>79234.916666666672</v>
      </c>
    </row>
    <row r="381" spans="1:10" x14ac:dyDescent="0.35">
      <c r="A381" s="2" t="s">
        <v>9</v>
      </c>
      <c r="B381" s="2" t="s">
        <v>16</v>
      </c>
      <c r="C381" s="2" t="s">
        <v>19</v>
      </c>
      <c r="D381" s="2" t="s">
        <v>21</v>
      </c>
      <c r="E381" s="2" t="s">
        <v>33</v>
      </c>
      <c r="F381" s="2" t="s">
        <v>38</v>
      </c>
      <c r="G381" s="3">
        <v>3334456</v>
      </c>
      <c r="H381" s="3">
        <v>2682340</v>
      </c>
      <c r="I381" s="2" t="s">
        <v>9</v>
      </c>
      <c r="J381" s="3">
        <f t="shared" si="5"/>
        <v>223528.33333333334</v>
      </c>
    </row>
    <row r="382" spans="1:10" x14ac:dyDescent="0.35">
      <c r="A382" s="2" t="s">
        <v>9</v>
      </c>
      <c r="B382" s="2" t="s">
        <v>17</v>
      </c>
      <c r="C382" s="2" t="s">
        <v>18</v>
      </c>
      <c r="D382" s="2" t="s">
        <v>25</v>
      </c>
      <c r="E382" s="2" t="s">
        <v>35</v>
      </c>
      <c r="F382" s="2" t="s">
        <v>37</v>
      </c>
      <c r="G382" s="3">
        <v>1215615</v>
      </c>
      <c r="H382" s="3">
        <v>879874</v>
      </c>
      <c r="I382" s="2" t="s">
        <v>9</v>
      </c>
      <c r="J382" s="3">
        <f t="shared" si="5"/>
        <v>73322.833333333328</v>
      </c>
    </row>
    <row r="383" spans="1:10" x14ac:dyDescent="0.35">
      <c r="A383" s="2" t="s">
        <v>11</v>
      </c>
      <c r="B383" s="2" t="s">
        <v>16</v>
      </c>
      <c r="C383" s="2" t="s">
        <v>19</v>
      </c>
      <c r="D383" s="2" t="s">
        <v>20</v>
      </c>
      <c r="E383" s="2" t="s">
        <v>29</v>
      </c>
      <c r="F383" s="2" t="s">
        <v>38</v>
      </c>
      <c r="G383" s="3">
        <v>4232055</v>
      </c>
      <c r="H383" s="3">
        <v>2966983</v>
      </c>
      <c r="I383" s="2" t="s">
        <v>11</v>
      </c>
      <c r="J383" s="3">
        <f t="shared" si="5"/>
        <v>247248.58333333334</v>
      </c>
    </row>
    <row r="384" spans="1:10" x14ac:dyDescent="0.35">
      <c r="A384" s="2" t="s">
        <v>11</v>
      </c>
      <c r="B384" s="2" t="s">
        <v>16</v>
      </c>
      <c r="C384" s="2" t="s">
        <v>19</v>
      </c>
      <c r="D384" s="2" t="s">
        <v>24</v>
      </c>
      <c r="E384" s="2" t="s">
        <v>29</v>
      </c>
      <c r="F384" s="2" t="s">
        <v>37</v>
      </c>
      <c r="G384" s="3">
        <v>4373990</v>
      </c>
      <c r="H384" s="3">
        <v>3151082</v>
      </c>
      <c r="I384" s="2" t="s">
        <v>11</v>
      </c>
      <c r="J384" s="3">
        <f t="shared" si="5"/>
        <v>262590.16666666669</v>
      </c>
    </row>
    <row r="385" spans="1:10" x14ac:dyDescent="0.35">
      <c r="A385" s="2" t="s">
        <v>10</v>
      </c>
      <c r="B385" s="2" t="s">
        <v>16</v>
      </c>
      <c r="C385" s="2" t="s">
        <v>18</v>
      </c>
      <c r="D385" s="2" t="s">
        <v>24</v>
      </c>
      <c r="E385" s="2" t="s">
        <v>30</v>
      </c>
      <c r="F385" s="2" t="s">
        <v>37</v>
      </c>
      <c r="G385" s="3">
        <v>6174899</v>
      </c>
      <c r="H385" s="3">
        <v>4715487</v>
      </c>
      <c r="I385" s="2" t="s">
        <v>40</v>
      </c>
      <c r="J385" s="3">
        <f t="shared" si="5"/>
        <v>392957.25</v>
      </c>
    </row>
    <row r="386" spans="1:10" x14ac:dyDescent="0.35">
      <c r="A386" s="2" t="s">
        <v>10</v>
      </c>
      <c r="B386" s="2" t="s">
        <v>16</v>
      </c>
      <c r="C386" s="2" t="s">
        <v>19</v>
      </c>
      <c r="D386" s="2" t="s">
        <v>23</v>
      </c>
      <c r="E386" s="2" t="s">
        <v>33</v>
      </c>
      <c r="F386" s="2" t="s">
        <v>37</v>
      </c>
      <c r="G386" s="3">
        <v>4531412</v>
      </c>
      <c r="H386" s="3">
        <v>3351763</v>
      </c>
      <c r="I386" s="2" t="s">
        <v>40</v>
      </c>
      <c r="J386" s="3">
        <f t="shared" si="5"/>
        <v>279313.58333333331</v>
      </c>
    </row>
    <row r="387" spans="1:10" x14ac:dyDescent="0.35">
      <c r="A387" s="2" t="s">
        <v>13</v>
      </c>
      <c r="B387" s="2" t="s">
        <v>17</v>
      </c>
      <c r="C387" s="2" t="s">
        <v>18</v>
      </c>
      <c r="D387" s="2" t="s">
        <v>26</v>
      </c>
      <c r="E387" s="2" t="s">
        <v>32</v>
      </c>
      <c r="F387" s="2" t="s">
        <v>38</v>
      </c>
      <c r="G387" s="3">
        <v>1328245</v>
      </c>
      <c r="H387" s="3">
        <v>1000675</v>
      </c>
      <c r="I387" s="2" t="s">
        <v>9</v>
      </c>
      <c r="J387" s="3">
        <f t="shared" ref="J387:J450" si="6">H387/12</f>
        <v>83389.583333333328</v>
      </c>
    </row>
    <row r="388" spans="1:10" x14ac:dyDescent="0.35">
      <c r="A388" s="2" t="s">
        <v>11</v>
      </c>
      <c r="B388" s="2" t="s">
        <v>17</v>
      </c>
      <c r="C388" s="2" t="s">
        <v>18</v>
      </c>
      <c r="D388" s="2" t="s">
        <v>21</v>
      </c>
      <c r="E388" s="2" t="s">
        <v>31</v>
      </c>
      <c r="F388" s="2" t="s">
        <v>39</v>
      </c>
      <c r="G388" s="3">
        <v>1900471</v>
      </c>
      <c r="H388" s="3">
        <v>1423684</v>
      </c>
      <c r="I388" s="2" t="s">
        <v>11</v>
      </c>
      <c r="J388" s="3">
        <f t="shared" si="6"/>
        <v>118640.33333333333</v>
      </c>
    </row>
    <row r="389" spans="1:10" x14ac:dyDescent="0.35">
      <c r="A389" s="2" t="s">
        <v>13</v>
      </c>
      <c r="B389" s="2" t="s">
        <v>17</v>
      </c>
      <c r="C389" s="2" t="s">
        <v>19</v>
      </c>
      <c r="D389" s="2" t="s">
        <v>21</v>
      </c>
      <c r="E389" s="2" t="s">
        <v>32</v>
      </c>
      <c r="F389" s="2" t="s">
        <v>36</v>
      </c>
      <c r="G389" s="3">
        <v>2034776</v>
      </c>
      <c r="H389" s="3">
        <v>1436197</v>
      </c>
      <c r="I389" s="2" t="s">
        <v>9</v>
      </c>
      <c r="J389" s="3">
        <f t="shared" si="6"/>
        <v>119683.08333333333</v>
      </c>
    </row>
    <row r="390" spans="1:10" x14ac:dyDescent="0.35">
      <c r="A390" s="2" t="s">
        <v>12</v>
      </c>
      <c r="B390" s="2" t="s">
        <v>15</v>
      </c>
      <c r="C390" s="2" t="s">
        <v>18</v>
      </c>
      <c r="D390" s="2" t="s">
        <v>21</v>
      </c>
      <c r="E390" s="2" t="s">
        <v>29</v>
      </c>
      <c r="F390" s="2" t="s">
        <v>38</v>
      </c>
      <c r="G390" s="3">
        <v>678973</v>
      </c>
      <c r="H390" s="3">
        <v>484800</v>
      </c>
      <c r="I390" s="2" t="s">
        <v>11</v>
      </c>
      <c r="J390" s="3">
        <f t="shared" si="6"/>
        <v>40400</v>
      </c>
    </row>
    <row r="391" spans="1:10" x14ac:dyDescent="0.35">
      <c r="A391" s="2" t="s">
        <v>12</v>
      </c>
      <c r="B391" s="2" t="s">
        <v>15</v>
      </c>
      <c r="C391" s="2" t="s">
        <v>18</v>
      </c>
      <c r="D391" s="2" t="s">
        <v>28</v>
      </c>
      <c r="E391" s="2" t="s">
        <v>35</v>
      </c>
      <c r="F391" s="2" t="s">
        <v>37</v>
      </c>
      <c r="G391" s="3">
        <v>750945</v>
      </c>
      <c r="H391" s="3">
        <v>592706</v>
      </c>
      <c r="I391" s="2" t="s">
        <v>11</v>
      </c>
      <c r="J391" s="3">
        <f t="shared" si="6"/>
        <v>49392.166666666664</v>
      </c>
    </row>
    <row r="392" spans="1:10" x14ac:dyDescent="0.35">
      <c r="A392" s="2" t="s">
        <v>13</v>
      </c>
      <c r="B392" s="2" t="s">
        <v>15</v>
      </c>
      <c r="C392" s="2" t="s">
        <v>18</v>
      </c>
      <c r="D392" s="2" t="s">
        <v>25</v>
      </c>
      <c r="E392" s="2" t="s">
        <v>31</v>
      </c>
      <c r="F392" s="2" t="s">
        <v>38</v>
      </c>
      <c r="G392" s="3">
        <v>1167909</v>
      </c>
      <c r="H392" s="3">
        <v>891496</v>
      </c>
      <c r="I392" s="2" t="s">
        <v>9</v>
      </c>
      <c r="J392" s="3">
        <f t="shared" si="6"/>
        <v>74291.333333333328</v>
      </c>
    </row>
    <row r="393" spans="1:10" x14ac:dyDescent="0.35">
      <c r="A393" s="2" t="s">
        <v>14</v>
      </c>
      <c r="B393" s="2" t="s">
        <v>17</v>
      </c>
      <c r="C393" s="2" t="s">
        <v>19</v>
      </c>
      <c r="D393" s="2" t="s">
        <v>25</v>
      </c>
      <c r="E393" s="2" t="s">
        <v>31</v>
      </c>
      <c r="F393" s="2" t="s">
        <v>39</v>
      </c>
      <c r="G393" s="3">
        <v>2545491</v>
      </c>
      <c r="H393" s="3">
        <v>2026718</v>
      </c>
      <c r="I393" s="2" t="s">
        <v>40</v>
      </c>
      <c r="J393" s="3">
        <f t="shared" si="6"/>
        <v>168893.16666666666</v>
      </c>
    </row>
    <row r="394" spans="1:10" x14ac:dyDescent="0.35">
      <c r="A394" s="2" t="s">
        <v>11</v>
      </c>
      <c r="B394" s="2" t="s">
        <v>15</v>
      </c>
      <c r="C394" s="2" t="s">
        <v>19</v>
      </c>
      <c r="D394" s="2" t="s">
        <v>21</v>
      </c>
      <c r="E394" s="2" t="s">
        <v>34</v>
      </c>
      <c r="F394" s="2" t="s">
        <v>39</v>
      </c>
      <c r="G394" s="3">
        <v>1102569</v>
      </c>
      <c r="H394" s="3">
        <v>854560</v>
      </c>
      <c r="I394" s="2" t="s">
        <v>11</v>
      </c>
      <c r="J394" s="3">
        <f t="shared" si="6"/>
        <v>71213.333333333328</v>
      </c>
    </row>
    <row r="395" spans="1:10" x14ac:dyDescent="0.35">
      <c r="A395" s="2" t="s">
        <v>11</v>
      </c>
      <c r="B395" s="2" t="s">
        <v>17</v>
      </c>
      <c r="C395" s="2" t="s">
        <v>19</v>
      </c>
      <c r="D395" s="2" t="s">
        <v>28</v>
      </c>
      <c r="E395" s="2" t="s">
        <v>32</v>
      </c>
      <c r="F395" s="2" t="s">
        <v>37</v>
      </c>
      <c r="G395" s="3">
        <v>1772361</v>
      </c>
      <c r="H395" s="3">
        <v>1356227</v>
      </c>
      <c r="I395" s="2" t="s">
        <v>11</v>
      </c>
      <c r="J395" s="3">
        <f t="shared" si="6"/>
        <v>113018.91666666667</v>
      </c>
    </row>
    <row r="396" spans="1:10" x14ac:dyDescent="0.35">
      <c r="A396" s="2" t="s">
        <v>10</v>
      </c>
      <c r="B396" s="2" t="s">
        <v>15</v>
      </c>
      <c r="C396" s="2" t="s">
        <v>19</v>
      </c>
      <c r="D396" s="2" t="s">
        <v>22</v>
      </c>
      <c r="E396" s="2" t="s">
        <v>30</v>
      </c>
      <c r="F396" s="2" t="s">
        <v>39</v>
      </c>
      <c r="G396" s="3">
        <v>1524388</v>
      </c>
      <c r="H396" s="3">
        <v>1097418</v>
      </c>
      <c r="I396" s="2" t="s">
        <v>40</v>
      </c>
      <c r="J396" s="3">
        <f t="shared" si="6"/>
        <v>91451.5</v>
      </c>
    </row>
    <row r="397" spans="1:10" x14ac:dyDescent="0.35">
      <c r="A397" s="2" t="s">
        <v>10</v>
      </c>
      <c r="B397" s="2" t="s">
        <v>15</v>
      </c>
      <c r="C397" s="2" t="s">
        <v>18</v>
      </c>
      <c r="D397" s="2" t="s">
        <v>25</v>
      </c>
      <c r="E397" s="2" t="s">
        <v>31</v>
      </c>
      <c r="F397" s="2" t="s">
        <v>38</v>
      </c>
      <c r="G397" s="3">
        <v>1295031</v>
      </c>
      <c r="H397" s="3">
        <v>1010696</v>
      </c>
      <c r="I397" s="2" t="s">
        <v>40</v>
      </c>
      <c r="J397" s="3">
        <f t="shared" si="6"/>
        <v>84224.666666666672</v>
      </c>
    </row>
    <row r="398" spans="1:10" x14ac:dyDescent="0.35">
      <c r="A398" s="2" t="s">
        <v>12</v>
      </c>
      <c r="B398" s="2" t="s">
        <v>17</v>
      </c>
      <c r="C398" s="2" t="s">
        <v>19</v>
      </c>
      <c r="D398" s="2" t="s">
        <v>20</v>
      </c>
      <c r="E398" s="2" t="s">
        <v>33</v>
      </c>
      <c r="F398" s="2" t="s">
        <v>38</v>
      </c>
      <c r="G398" s="3">
        <v>2165246</v>
      </c>
      <c r="H398" s="3">
        <v>1549907</v>
      </c>
      <c r="I398" s="2" t="s">
        <v>11</v>
      </c>
      <c r="J398" s="3">
        <f t="shared" si="6"/>
        <v>129158.91666666667</v>
      </c>
    </row>
    <row r="399" spans="1:10" x14ac:dyDescent="0.35">
      <c r="A399" s="2" t="s">
        <v>9</v>
      </c>
      <c r="B399" s="2" t="s">
        <v>16</v>
      </c>
      <c r="C399" s="2" t="s">
        <v>18</v>
      </c>
      <c r="D399" s="2" t="s">
        <v>26</v>
      </c>
      <c r="E399" s="2" t="s">
        <v>29</v>
      </c>
      <c r="F399" s="2" t="s">
        <v>36</v>
      </c>
      <c r="G399" s="3">
        <v>3147610</v>
      </c>
      <c r="H399" s="3">
        <v>2415096</v>
      </c>
      <c r="I399" s="2" t="s">
        <v>9</v>
      </c>
      <c r="J399" s="3">
        <f t="shared" si="6"/>
        <v>201258</v>
      </c>
    </row>
    <row r="400" spans="1:10" x14ac:dyDescent="0.35">
      <c r="A400" s="2" t="s">
        <v>14</v>
      </c>
      <c r="B400" s="2" t="s">
        <v>16</v>
      </c>
      <c r="C400" s="2" t="s">
        <v>19</v>
      </c>
      <c r="D400" s="2" t="s">
        <v>27</v>
      </c>
      <c r="E400" s="2" t="s">
        <v>30</v>
      </c>
      <c r="F400" s="2" t="s">
        <v>37</v>
      </c>
      <c r="G400" s="3">
        <v>4662352</v>
      </c>
      <c r="H400" s="3">
        <v>3438880</v>
      </c>
      <c r="I400" s="2" t="s">
        <v>40</v>
      </c>
      <c r="J400" s="3">
        <f t="shared" si="6"/>
        <v>286573.33333333331</v>
      </c>
    </row>
    <row r="401" spans="1:10" x14ac:dyDescent="0.35">
      <c r="A401" s="2" t="s">
        <v>10</v>
      </c>
      <c r="B401" s="2" t="s">
        <v>16</v>
      </c>
      <c r="C401" s="2" t="s">
        <v>18</v>
      </c>
      <c r="D401" s="2" t="s">
        <v>22</v>
      </c>
      <c r="E401" s="2" t="s">
        <v>30</v>
      </c>
      <c r="F401" s="2" t="s">
        <v>39</v>
      </c>
      <c r="G401" s="3">
        <v>3749576</v>
      </c>
      <c r="H401" s="3">
        <v>2685938</v>
      </c>
      <c r="I401" s="2" t="s">
        <v>40</v>
      </c>
      <c r="J401" s="3">
        <f t="shared" si="6"/>
        <v>223828.16666666666</v>
      </c>
    </row>
    <row r="402" spans="1:10" x14ac:dyDescent="0.35">
      <c r="A402" s="2" t="s">
        <v>13</v>
      </c>
      <c r="B402" s="2" t="s">
        <v>17</v>
      </c>
      <c r="C402" s="2" t="s">
        <v>19</v>
      </c>
      <c r="D402" s="2" t="s">
        <v>20</v>
      </c>
      <c r="E402" s="2" t="s">
        <v>29</v>
      </c>
      <c r="F402" s="2" t="s">
        <v>36</v>
      </c>
      <c r="G402" s="3">
        <v>1697568</v>
      </c>
      <c r="H402" s="3">
        <v>1363637</v>
      </c>
      <c r="I402" s="2" t="s">
        <v>9</v>
      </c>
      <c r="J402" s="3">
        <f t="shared" si="6"/>
        <v>113636.41666666667</v>
      </c>
    </row>
    <row r="403" spans="1:10" x14ac:dyDescent="0.35">
      <c r="A403" s="2" t="s">
        <v>12</v>
      </c>
      <c r="B403" s="2" t="s">
        <v>15</v>
      </c>
      <c r="C403" s="2" t="s">
        <v>18</v>
      </c>
      <c r="D403" s="2" t="s">
        <v>22</v>
      </c>
      <c r="E403" s="2" t="s">
        <v>34</v>
      </c>
      <c r="F403" s="2" t="s">
        <v>36</v>
      </c>
      <c r="G403" s="3">
        <v>792372</v>
      </c>
      <c r="H403" s="3">
        <v>576391</v>
      </c>
      <c r="I403" s="2" t="s">
        <v>11</v>
      </c>
      <c r="J403" s="3">
        <f t="shared" si="6"/>
        <v>48032.583333333336</v>
      </c>
    </row>
    <row r="404" spans="1:10" x14ac:dyDescent="0.35">
      <c r="A404" s="2" t="s">
        <v>13</v>
      </c>
      <c r="B404" s="2" t="s">
        <v>17</v>
      </c>
      <c r="C404" s="2" t="s">
        <v>18</v>
      </c>
      <c r="D404" s="2" t="s">
        <v>26</v>
      </c>
      <c r="E404" s="2" t="s">
        <v>32</v>
      </c>
      <c r="F404" s="2" t="s">
        <v>37</v>
      </c>
      <c r="G404" s="3">
        <v>1585030</v>
      </c>
      <c r="H404" s="3">
        <v>1121919</v>
      </c>
      <c r="I404" s="2" t="s">
        <v>9</v>
      </c>
      <c r="J404" s="3">
        <f t="shared" si="6"/>
        <v>93493.25</v>
      </c>
    </row>
    <row r="405" spans="1:10" x14ac:dyDescent="0.35">
      <c r="A405" s="2" t="s">
        <v>14</v>
      </c>
      <c r="B405" s="2" t="s">
        <v>17</v>
      </c>
      <c r="C405" s="2" t="s">
        <v>19</v>
      </c>
      <c r="D405" s="2" t="s">
        <v>24</v>
      </c>
      <c r="E405" s="2" t="s">
        <v>29</v>
      </c>
      <c r="F405" s="2" t="s">
        <v>36</v>
      </c>
      <c r="G405" s="3">
        <v>2898384</v>
      </c>
      <c r="H405" s="3">
        <v>2248938</v>
      </c>
      <c r="I405" s="2" t="s">
        <v>40</v>
      </c>
      <c r="J405" s="3">
        <f t="shared" si="6"/>
        <v>187411.5</v>
      </c>
    </row>
    <row r="406" spans="1:10" x14ac:dyDescent="0.35">
      <c r="A406" s="2" t="s">
        <v>11</v>
      </c>
      <c r="B406" s="2" t="s">
        <v>15</v>
      </c>
      <c r="C406" s="2" t="s">
        <v>18</v>
      </c>
      <c r="D406" s="2" t="s">
        <v>25</v>
      </c>
      <c r="E406" s="2" t="s">
        <v>30</v>
      </c>
      <c r="F406" s="2" t="s">
        <v>38</v>
      </c>
      <c r="G406" s="3">
        <v>1126853</v>
      </c>
      <c r="H406" s="3">
        <v>862730</v>
      </c>
      <c r="I406" s="2" t="s">
        <v>11</v>
      </c>
      <c r="J406" s="3">
        <f t="shared" si="6"/>
        <v>71894.166666666672</v>
      </c>
    </row>
    <row r="407" spans="1:10" x14ac:dyDescent="0.35">
      <c r="A407" s="2" t="s">
        <v>11</v>
      </c>
      <c r="B407" s="2" t="s">
        <v>16</v>
      </c>
      <c r="C407" s="2" t="s">
        <v>18</v>
      </c>
      <c r="D407" s="2" t="s">
        <v>28</v>
      </c>
      <c r="E407" s="2" t="s">
        <v>34</v>
      </c>
      <c r="F407" s="2" t="s">
        <v>36</v>
      </c>
      <c r="G407" s="3">
        <v>3047248</v>
      </c>
      <c r="H407" s="3">
        <v>2250898</v>
      </c>
      <c r="I407" s="2" t="s">
        <v>11</v>
      </c>
      <c r="J407" s="3">
        <f t="shared" si="6"/>
        <v>187574.83333333334</v>
      </c>
    </row>
    <row r="408" spans="1:10" x14ac:dyDescent="0.35">
      <c r="A408" s="2" t="s">
        <v>9</v>
      </c>
      <c r="B408" s="2" t="s">
        <v>17</v>
      </c>
      <c r="C408" s="2" t="s">
        <v>18</v>
      </c>
      <c r="D408" s="2" t="s">
        <v>26</v>
      </c>
      <c r="E408" s="2" t="s">
        <v>33</v>
      </c>
      <c r="F408" s="2" t="s">
        <v>36</v>
      </c>
      <c r="G408" s="3">
        <v>1177606</v>
      </c>
      <c r="H408" s="3">
        <v>877185</v>
      </c>
      <c r="I408" s="2" t="s">
        <v>9</v>
      </c>
      <c r="J408" s="3">
        <f t="shared" si="6"/>
        <v>73098.75</v>
      </c>
    </row>
    <row r="409" spans="1:10" x14ac:dyDescent="0.35">
      <c r="A409" s="2" t="s">
        <v>10</v>
      </c>
      <c r="B409" s="2" t="s">
        <v>15</v>
      </c>
      <c r="C409" s="2" t="s">
        <v>18</v>
      </c>
      <c r="D409" s="2" t="s">
        <v>28</v>
      </c>
      <c r="E409" s="2" t="s">
        <v>33</v>
      </c>
      <c r="F409" s="2" t="s">
        <v>36</v>
      </c>
      <c r="G409" s="3">
        <v>1306690</v>
      </c>
      <c r="H409" s="3">
        <v>946507</v>
      </c>
      <c r="I409" s="2" t="s">
        <v>40</v>
      </c>
      <c r="J409" s="3">
        <f t="shared" si="6"/>
        <v>78875.583333333328</v>
      </c>
    </row>
    <row r="410" spans="1:10" x14ac:dyDescent="0.35">
      <c r="A410" s="2" t="s">
        <v>11</v>
      </c>
      <c r="B410" s="2" t="s">
        <v>16</v>
      </c>
      <c r="C410" s="2" t="s">
        <v>18</v>
      </c>
      <c r="D410" s="2" t="s">
        <v>28</v>
      </c>
      <c r="E410" s="2" t="s">
        <v>32</v>
      </c>
      <c r="F410" s="2" t="s">
        <v>38</v>
      </c>
      <c r="G410" s="3">
        <v>3691827</v>
      </c>
      <c r="H410" s="3">
        <v>2932687</v>
      </c>
      <c r="I410" s="2" t="s">
        <v>11</v>
      </c>
      <c r="J410" s="3">
        <f t="shared" si="6"/>
        <v>244390.58333333334</v>
      </c>
    </row>
    <row r="411" spans="1:10" x14ac:dyDescent="0.35">
      <c r="A411" s="2" t="s">
        <v>11</v>
      </c>
      <c r="B411" s="2" t="s">
        <v>17</v>
      </c>
      <c r="C411" s="2" t="s">
        <v>18</v>
      </c>
      <c r="D411" s="2" t="s">
        <v>22</v>
      </c>
      <c r="E411" s="2" t="s">
        <v>34</v>
      </c>
      <c r="F411" s="2" t="s">
        <v>37</v>
      </c>
      <c r="G411" s="3">
        <v>2029238</v>
      </c>
      <c r="H411" s="3">
        <v>1486641</v>
      </c>
      <c r="I411" s="2" t="s">
        <v>11</v>
      </c>
      <c r="J411" s="3">
        <f t="shared" si="6"/>
        <v>123886.75</v>
      </c>
    </row>
    <row r="412" spans="1:10" x14ac:dyDescent="0.35">
      <c r="A412" s="2" t="s">
        <v>11</v>
      </c>
      <c r="B412" s="2" t="s">
        <v>17</v>
      </c>
      <c r="C412" s="2" t="s">
        <v>19</v>
      </c>
      <c r="D412" s="2" t="s">
        <v>25</v>
      </c>
      <c r="E412" s="2" t="s">
        <v>29</v>
      </c>
      <c r="F412" s="2" t="s">
        <v>38</v>
      </c>
      <c r="G412" s="3">
        <v>1832120</v>
      </c>
      <c r="H412" s="3">
        <v>1442566</v>
      </c>
      <c r="I412" s="2" t="s">
        <v>11</v>
      </c>
      <c r="J412" s="3">
        <f t="shared" si="6"/>
        <v>120213.83333333333</v>
      </c>
    </row>
    <row r="413" spans="1:10" x14ac:dyDescent="0.35">
      <c r="A413" s="2" t="s">
        <v>13</v>
      </c>
      <c r="B413" s="2" t="s">
        <v>17</v>
      </c>
      <c r="C413" s="2" t="s">
        <v>18</v>
      </c>
      <c r="D413" s="2" t="s">
        <v>28</v>
      </c>
      <c r="E413" s="2" t="s">
        <v>31</v>
      </c>
      <c r="F413" s="2" t="s">
        <v>36</v>
      </c>
      <c r="G413" s="3">
        <v>2152298</v>
      </c>
      <c r="H413" s="3">
        <v>1559272</v>
      </c>
      <c r="I413" s="2" t="s">
        <v>9</v>
      </c>
      <c r="J413" s="3">
        <f t="shared" si="6"/>
        <v>129939.33333333333</v>
      </c>
    </row>
    <row r="414" spans="1:10" x14ac:dyDescent="0.35">
      <c r="A414" s="2" t="s">
        <v>11</v>
      </c>
      <c r="B414" s="2" t="s">
        <v>16</v>
      </c>
      <c r="C414" s="2" t="s">
        <v>19</v>
      </c>
      <c r="D414" s="2" t="s">
        <v>21</v>
      </c>
      <c r="E414" s="2" t="s">
        <v>35</v>
      </c>
      <c r="F414" s="2" t="s">
        <v>36</v>
      </c>
      <c r="G414" s="3">
        <v>4815065</v>
      </c>
      <c r="H414" s="3">
        <v>3600016</v>
      </c>
      <c r="I414" s="2" t="s">
        <v>11</v>
      </c>
      <c r="J414" s="3">
        <f t="shared" si="6"/>
        <v>300001.33333333331</v>
      </c>
    </row>
    <row r="415" spans="1:10" x14ac:dyDescent="0.35">
      <c r="A415" s="2" t="s">
        <v>12</v>
      </c>
      <c r="B415" s="2" t="s">
        <v>15</v>
      </c>
      <c r="C415" s="2" t="s">
        <v>19</v>
      </c>
      <c r="D415" s="2" t="s">
        <v>21</v>
      </c>
      <c r="E415" s="2" t="s">
        <v>32</v>
      </c>
      <c r="F415" s="2" t="s">
        <v>39</v>
      </c>
      <c r="G415" s="3">
        <v>1120034</v>
      </c>
      <c r="H415" s="3">
        <v>792547</v>
      </c>
      <c r="I415" s="2" t="s">
        <v>11</v>
      </c>
      <c r="J415" s="3">
        <f t="shared" si="6"/>
        <v>66045.583333333328</v>
      </c>
    </row>
    <row r="416" spans="1:10" x14ac:dyDescent="0.35">
      <c r="A416" s="2" t="s">
        <v>14</v>
      </c>
      <c r="B416" s="2" t="s">
        <v>17</v>
      </c>
      <c r="C416" s="2" t="s">
        <v>19</v>
      </c>
      <c r="D416" s="2" t="s">
        <v>28</v>
      </c>
      <c r="E416" s="2" t="s">
        <v>32</v>
      </c>
      <c r="F416" s="2" t="s">
        <v>39</v>
      </c>
      <c r="G416" s="3">
        <v>2987334</v>
      </c>
      <c r="H416" s="3">
        <v>2402483</v>
      </c>
      <c r="I416" s="2" t="s">
        <v>40</v>
      </c>
      <c r="J416" s="3">
        <f t="shared" si="6"/>
        <v>200206.91666666666</v>
      </c>
    </row>
    <row r="417" spans="1:10" x14ac:dyDescent="0.35">
      <c r="A417" s="2" t="s">
        <v>11</v>
      </c>
      <c r="B417" s="2" t="s">
        <v>16</v>
      </c>
      <c r="C417" s="2" t="s">
        <v>19</v>
      </c>
      <c r="D417" s="2" t="s">
        <v>21</v>
      </c>
      <c r="E417" s="2" t="s">
        <v>29</v>
      </c>
      <c r="F417" s="2" t="s">
        <v>37</v>
      </c>
      <c r="G417" s="3">
        <v>2718665</v>
      </c>
      <c r="H417" s="3">
        <v>1930287</v>
      </c>
      <c r="I417" s="2" t="s">
        <v>11</v>
      </c>
      <c r="J417" s="3">
        <f t="shared" si="6"/>
        <v>160857.25</v>
      </c>
    </row>
    <row r="418" spans="1:10" x14ac:dyDescent="0.35">
      <c r="A418" s="2" t="s">
        <v>14</v>
      </c>
      <c r="B418" s="2" t="s">
        <v>17</v>
      </c>
      <c r="C418" s="2" t="s">
        <v>19</v>
      </c>
      <c r="D418" s="2" t="s">
        <v>25</v>
      </c>
      <c r="E418" s="2" t="s">
        <v>29</v>
      </c>
      <c r="F418" s="2" t="s">
        <v>38</v>
      </c>
      <c r="G418" s="3">
        <v>2051621</v>
      </c>
      <c r="H418" s="3">
        <v>1680394</v>
      </c>
      <c r="I418" s="2" t="s">
        <v>40</v>
      </c>
      <c r="J418" s="3">
        <f t="shared" si="6"/>
        <v>140032.83333333334</v>
      </c>
    </row>
    <row r="419" spans="1:10" x14ac:dyDescent="0.35">
      <c r="A419" s="2" t="s">
        <v>12</v>
      </c>
      <c r="B419" s="2" t="s">
        <v>16</v>
      </c>
      <c r="C419" s="2" t="s">
        <v>18</v>
      </c>
      <c r="D419" s="2" t="s">
        <v>27</v>
      </c>
      <c r="E419" s="2" t="s">
        <v>30</v>
      </c>
      <c r="F419" s="2" t="s">
        <v>36</v>
      </c>
      <c r="G419" s="3">
        <v>4475339</v>
      </c>
      <c r="H419" s="3">
        <v>3284277</v>
      </c>
      <c r="I419" s="2" t="s">
        <v>11</v>
      </c>
      <c r="J419" s="3">
        <f t="shared" si="6"/>
        <v>273689.75</v>
      </c>
    </row>
    <row r="420" spans="1:10" x14ac:dyDescent="0.35">
      <c r="A420" s="2" t="s">
        <v>13</v>
      </c>
      <c r="B420" s="2" t="s">
        <v>15</v>
      </c>
      <c r="C420" s="2" t="s">
        <v>18</v>
      </c>
      <c r="D420" s="2" t="s">
        <v>26</v>
      </c>
      <c r="E420" s="2" t="s">
        <v>35</v>
      </c>
      <c r="F420" s="2" t="s">
        <v>37</v>
      </c>
      <c r="G420" s="3">
        <v>938790</v>
      </c>
      <c r="H420" s="3">
        <v>658382</v>
      </c>
      <c r="I420" s="2" t="s">
        <v>9</v>
      </c>
      <c r="J420" s="3">
        <f t="shared" si="6"/>
        <v>54865.166666666664</v>
      </c>
    </row>
    <row r="421" spans="1:10" x14ac:dyDescent="0.35">
      <c r="A421" s="2" t="s">
        <v>10</v>
      </c>
      <c r="B421" s="2" t="s">
        <v>15</v>
      </c>
      <c r="C421" s="2" t="s">
        <v>19</v>
      </c>
      <c r="D421" s="2" t="s">
        <v>22</v>
      </c>
      <c r="E421" s="2" t="s">
        <v>34</v>
      </c>
      <c r="F421" s="2" t="s">
        <v>39</v>
      </c>
      <c r="G421" s="3">
        <v>1265318</v>
      </c>
      <c r="H421" s="3">
        <v>1001815</v>
      </c>
      <c r="I421" s="2" t="s">
        <v>40</v>
      </c>
      <c r="J421" s="3">
        <f t="shared" si="6"/>
        <v>83484.583333333328</v>
      </c>
    </row>
    <row r="422" spans="1:10" x14ac:dyDescent="0.35">
      <c r="A422" s="2" t="s">
        <v>10</v>
      </c>
      <c r="B422" s="2" t="s">
        <v>16</v>
      </c>
      <c r="C422" s="2" t="s">
        <v>18</v>
      </c>
      <c r="D422" s="2" t="s">
        <v>26</v>
      </c>
      <c r="E422" s="2" t="s">
        <v>30</v>
      </c>
      <c r="F422" s="2" t="s">
        <v>36</v>
      </c>
      <c r="G422" s="3">
        <v>6752095</v>
      </c>
      <c r="H422" s="3">
        <v>5249035</v>
      </c>
      <c r="I422" s="2" t="s">
        <v>40</v>
      </c>
      <c r="J422" s="3">
        <f t="shared" si="6"/>
        <v>437419.58333333331</v>
      </c>
    </row>
    <row r="423" spans="1:10" x14ac:dyDescent="0.35">
      <c r="A423" s="2" t="s">
        <v>12</v>
      </c>
      <c r="B423" s="2" t="s">
        <v>17</v>
      </c>
      <c r="C423" s="2" t="s">
        <v>18</v>
      </c>
      <c r="D423" s="2" t="s">
        <v>22</v>
      </c>
      <c r="E423" s="2" t="s">
        <v>29</v>
      </c>
      <c r="F423" s="2" t="s">
        <v>36</v>
      </c>
      <c r="G423" s="3">
        <v>1200664</v>
      </c>
      <c r="H423" s="3">
        <v>938557</v>
      </c>
      <c r="I423" s="2" t="s">
        <v>11</v>
      </c>
      <c r="J423" s="3">
        <f t="shared" si="6"/>
        <v>78213.083333333328</v>
      </c>
    </row>
    <row r="424" spans="1:10" x14ac:dyDescent="0.35">
      <c r="A424" s="2" t="s">
        <v>10</v>
      </c>
      <c r="B424" s="2" t="s">
        <v>16</v>
      </c>
      <c r="C424" s="2" t="s">
        <v>18</v>
      </c>
      <c r="D424" s="2" t="s">
        <v>22</v>
      </c>
      <c r="E424" s="2" t="s">
        <v>32</v>
      </c>
      <c r="F424" s="2" t="s">
        <v>39</v>
      </c>
      <c r="G424" s="3">
        <v>5079223</v>
      </c>
      <c r="H424" s="3">
        <v>3746800</v>
      </c>
      <c r="I424" s="2" t="s">
        <v>40</v>
      </c>
      <c r="J424" s="3">
        <f t="shared" si="6"/>
        <v>312233.33333333331</v>
      </c>
    </row>
    <row r="425" spans="1:10" x14ac:dyDescent="0.35">
      <c r="A425" s="2" t="s">
        <v>14</v>
      </c>
      <c r="B425" s="2" t="s">
        <v>15</v>
      </c>
      <c r="C425" s="2" t="s">
        <v>18</v>
      </c>
      <c r="D425" s="2" t="s">
        <v>21</v>
      </c>
      <c r="E425" s="2" t="s">
        <v>29</v>
      </c>
      <c r="F425" s="2" t="s">
        <v>37</v>
      </c>
      <c r="G425" s="3">
        <v>790512</v>
      </c>
      <c r="H425" s="3">
        <v>595475</v>
      </c>
      <c r="I425" s="2" t="s">
        <v>40</v>
      </c>
      <c r="J425" s="3">
        <f t="shared" si="6"/>
        <v>49622.916666666664</v>
      </c>
    </row>
    <row r="426" spans="1:10" x14ac:dyDescent="0.35">
      <c r="A426" s="2" t="s">
        <v>10</v>
      </c>
      <c r="B426" s="2" t="s">
        <v>16</v>
      </c>
      <c r="C426" s="2" t="s">
        <v>18</v>
      </c>
      <c r="D426" s="2" t="s">
        <v>27</v>
      </c>
      <c r="E426" s="2" t="s">
        <v>34</v>
      </c>
      <c r="F426" s="2" t="s">
        <v>37</v>
      </c>
      <c r="G426" s="3">
        <v>3572434</v>
      </c>
      <c r="H426" s="3">
        <v>2917482</v>
      </c>
      <c r="I426" s="2" t="s">
        <v>40</v>
      </c>
      <c r="J426" s="3">
        <f t="shared" si="6"/>
        <v>243123.5</v>
      </c>
    </row>
    <row r="427" spans="1:10" x14ac:dyDescent="0.35">
      <c r="A427" s="2" t="s">
        <v>12</v>
      </c>
      <c r="B427" s="2" t="s">
        <v>15</v>
      </c>
      <c r="C427" s="2" t="s">
        <v>18</v>
      </c>
      <c r="D427" s="2" t="s">
        <v>26</v>
      </c>
      <c r="E427" s="2" t="s">
        <v>30</v>
      </c>
      <c r="F427" s="2" t="s">
        <v>39</v>
      </c>
      <c r="G427" s="3">
        <v>840936</v>
      </c>
      <c r="H427" s="3">
        <v>609146</v>
      </c>
      <c r="I427" s="2" t="s">
        <v>11</v>
      </c>
      <c r="J427" s="3">
        <f t="shared" si="6"/>
        <v>50762.166666666664</v>
      </c>
    </row>
    <row r="428" spans="1:10" x14ac:dyDescent="0.35">
      <c r="A428" s="2" t="s">
        <v>14</v>
      </c>
      <c r="B428" s="2" t="s">
        <v>15</v>
      </c>
      <c r="C428" s="2" t="s">
        <v>18</v>
      </c>
      <c r="D428" s="2" t="s">
        <v>24</v>
      </c>
      <c r="E428" s="2" t="s">
        <v>30</v>
      </c>
      <c r="F428" s="2" t="s">
        <v>37</v>
      </c>
      <c r="G428" s="3">
        <v>1112767</v>
      </c>
      <c r="H428" s="3">
        <v>895383</v>
      </c>
      <c r="I428" s="2" t="s">
        <v>40</v>
      </c>
      <c r="J428" s="3">
        <f t="shared" si="6"/>
        <v>74615.25</v>
      </c>
    </row>
    <row r="429" spans="1:10" x14ac:dyDescent="0.35">
      <c r="A429" s="2" t="s">
        <v>13</v>
      </c>
      <c r="B429" s="2" t="s">
        <v>17</v>
      </c>
      <c r="C429" s="2" t="s">
        <v>18</v>
      </c>
      <c r="D429" s="2" t="s">
        <v>28</v>
      </c>
      <c r="E429" s="2" t="s">
        <v>30</v>
      </c>
      <c r="F429" s="2" t="s">
        <v>36</v>
      </c>
      <c r="G429" s="3">
        <v>2299976</v>
      </c>
      <c r="H429" s="3">
        <v>1663389</v>
      </c>
      <c r="I429" s="2" t="s">
        <v>9</v>
      </c>
      <c r="J429" s="3">
        <f t="shared" si="6"/>
        <v>138615.75</v>
      </c>
    </row>
    <row r="430" spans="1:10" x14ac:dyDescent="0.35">
      <c r="A430" s="2" t="s">
        <v>9</v>
      </c>
      <c r="B430" s="2" t="s">
        <v>16</v>
      </c>
      <c r="C430" s="2" t="s">
        <v>18</v>
      </c>
      <c r="D430" s="2" t="s">
        <v>26</v>
      </c>
      <c r="E430" s="2" t="s">
        <v>34</v>
      </c>
      <c r="F430" s="2" t="s">
        <v>38</v>
      </c>
      <c r="G430" s="3">
        <v>3313464</v>
      </c>
      <c r="H430" s="3">
        <v>2649650</v>
      </c>
      <c r="I430" s="2" t="s">
        <v>9</v>
      </c>
      <c r="J430" s="3">
        <f t="shared" si="6"/>
        <v>220804.16666666666</v>
      </c>
    </row>
    <row r="431" spans="1:10" x14ac:dyDescent="0.35">
      <c r="A431" s="2" t="s">
        <v>11</v>
      </c>
      <c r="B431" s="2" t="s">
        <v>15</v>
      </c>
      <c r="C431" s="2" t="s">
        <v>18</v>
      </c>
      <c r="D431" s="2" t="s">
        <v>20</v>
      </c>
      <c r="E431" s="2" t="s">
        <v>33</v>
      </c>
      <c r="F431" s="2" t="s">
        <v>37</v>
      </c>
      <c r="G431" s="3">
        <v>477137</v>
      </c>
      <c r="H431" s="3">
        <v>361521</v>
      </c>
      <c r="I431" s="2" t="s">
        <v>11</v>
      </c>
      <c r="J431" s="3">
        <f t="shared" si="6"/>
        <v>30126.75</v>
      </c>
    </row>
    <row r="432" spans="1:10" x14ac:dyDescent="0.35">
      <c r="A432" s="2" t="s">
        <v>13</v>
      </c>
      <c r="B432" s="2" t="s">
        <v>17</v>
      </c>
      <c r="C432" s="2" t="s">
        <v>18</v>
      </c>
      <c r="D432" s="2" t="s">
        <v>25</v>
      </c>
      <c r="E432" s="2" t="s">
        <v>30</v>
      </c>
      <c r="F432" s="2" t="s">
        <v>37</v>
      </c>
      <c r="G432" s="3">
        <v>2333567</v>
      </c>
      <c r="H432" s="3">
        <v>1853247</v>
      </c>
      <c r="I432" s="2" t="s">
        <v>9</v>
      </c>
      <c r="J432" s="3">
        <f t="shared" si="6"/>
        <v>154437.25</v>
      </c>
    </row>
    <row r="433" spans="1:10" x14ac:dyDescent="0.35">
      <c r="A433" s="2" t="s">
        <v>12</v>
      </c>
      <c r="B433" s="2" t="s">
        <v>16</v>
      </c>
      <c r="C433" s="2" t="s">
        <v>19</v>
      </c>
      <c r="D433" s="2" t="s">
        <v>27</v>
      </c>
      <c r="E433" s="2" t="s">
        <v>35</v>
      </c>
      <c r="F433" s="2" t="s">
        <v>37</v>
      </c>
      <c r="G433" s="3">
        <v>2779810</v>
      </c>
      <c r="H433" s="3">
        <v>2094989</v>
      </c>
      <c r="I433" s="2" t="s">
        <v>11</v>
      </c>
      <c r="J433" s="3">
        <f t="shared" si="6"/>
        <v>174582.41666666666</v>
      </c>
    </row>
    <row r="434" spans="1:10" x14ac:dyDescent="0.35">
      <c r="A434" s="2" t="s">
        <v>14</v>
      </c>
      <c r="B434" s="2" t="s">
        <v>16</v>
      </c>
      <c r="C434" s="2" t="s">
        <v>18</v>
      </c>
      <c r="D434" s="2" t="s">
        <v>20</v>
      </c>
      <c r="E434" s="2" t="s">
        <v>34</v>
      </c>
      <c r="F434" s="2" t="s">
        <v>37</v>
      </c>
      <c r="G434" s="3">
        <v>6725501</v>
      </c>
      <c r="H434" s="3">
        <v>4870455</v>
      </c>
      <c r="I434" s="2" t="s">
        <v>40</v>
      </c>
      <c r="J434" s="3">
        <f t="shared" si="6"/>
        <v>405871.25</v>
      </c>
    </row>
    <row r="435" spans="1:10" x14ac:dyDescent="0.35">
      <c r="A435" s="2" t="s">
        <v>12</v>
      </c>
      <c r="B435" s="2" t="s">
        <v>15</v>
      </c>
      <c r="C435" s="2" t="s">
        <v>18</v>
      </c>
      <c r="D435" s="2" t="s">
        <v>27</v>
      </c>
      <c r="E435" s="2" t="s">
        <v>31</v>
      </c>
      <c r="F435" s="2" t="s">
        <v>38</v>
      </c>
      <c r="G435" s="3">
        <v>1019114</v>
      </c>
      <c r="H435" s="3">
        <v>799633</v>
      </c>
      <c r="I435" s="2" t="s">
        <v>11</v>
      </c>
      <c r="J435" s="3">
        <f t="shared" si="6"/>
        <v>66636.083333333328</v>
      </c>
    </row>
    <row r="436" spans="1:10" x14ac:dyDescent="0.35">
      <c r="A436" s="2" t="s">
        <v>10</v>
      </c>
      <c r="B436" s="2" t="s">
        <v>15</v>
      </c>
      <c r="C436" s="2" t="s">
        <v>19</v>
      </c>
      <c r="D436" s="2" t="s">
        <v>22</v>
      </c>
      <c r="E436" s="2" t="s">
        <v>30</v>
      </c>
      <c r="F436" s="2" t="s">
        <v>37</v>
      </c>
      <c r="G436" s="3">
        <v>855908</v>
      </c>
      <c r="H436" s="3">
        <v>609572</v>
      </c>
      <c r="I436" s="2" t="s">
        <v>40</v>
      </c>
      <c r="J436" s="3">
        <f t="shared" si="6"/>
        <v>50797.666666666664</v>
      </c>
    </row>
    <row r="437" spans="1:10" x14ac:dyDescent="0.35">
      <c r="A437" s="2" t="s">
        <v>10</v>
      </c>
      <c r="B437" s="2" t="s">
        <v>17</v>
      </c>
      <c r="C437" s="2" t="s">
        <v>18</v>
      </c>
      <c r="D437" s="2" t="s">
        <v>24</v>
      </c>
      <c r="E437" s="2" t="s">
        <v>30</v>
      </c>
      <c r="F437" s="2" t="s">
        <v>36</v>
      </c>
      <c r="G437" s="3">
        <v>1889679</v>
      </c>
      <c r="H437" s="3">
        <v>1540978</v>
      </c>
      <c r="I437" s="2" t="s">
        <v>40</v>
      </c>
      <c r="J437" s="3">
        <f t="shared" si="6"/>
        <v>128414.83333333333</v>
      </c>
    </row>
    <row r="438" spans="1:10" x14ac:dyDescent="0.35">
      <c r="A438" s="2" t="s">
        <v>13</v>
      </c>
      <c r="B438" s="2" t="s">
        <v>16</v>
      </c>
      <c r="C438" s="2" t="s">
        <v>19</v>
      </c>
      <c r="D438" s="2" t="s">
        <v>26</v>
      </c>
      <c r="E438" s="2" t="s">
        <v>35</v>
      </c>
      <c r="F438" s="2" t="s">
        <v>38</v>
      </c>
      <c r="G438" s="3">
        <v>3824069</v>
      </c>
      <c r="H438" s="3">
        <v>3087737</v>
      </c>
      <c r="I438" s="2" t="s">
        <v>9</v>
      </c>
      <c r="J438" s="3">
        <f t="shared" si="6"/>
        <v>257311.41666666666</v>
      </c>
    </row>
    <row r="439" spans="1:10" x14ac:dyDescent="0.35">
      <c r="A439" s="2" t="s">
        <v>12</v>
      </c>
      <c r="B439" s="2" t="s">
        <v>17</v>
      </c>
      <c r="C439" s="2" t="s">
        <v>18</v>
      </c>
      <c r="D439" s="2" t="s">
        <v>23</v>
      </c>
      <c r="E439" s="2" t="s">
        <v>33</v>
      </c>
      <c r="F439" s="2" t="s">
        <v>37</v>
      </c>
      <c r="G439" s="3">
        <v>1967415</v>
      </c>
      <c r="H439" s="3">
        <v>1435244</v>
      </c>
      <c r="I439" s="2" t="s">
        <v>11</v>
      </c>
      <c r="J439" s="3">
        <f t="shared" si="6"/>
        <v>119603.66666666667</v>
      </c>
    </row>
    <row r="440" spans="1:10" x14ac:dyDescent="0.35">
      <c r="A440" s="2" t="s">
        <v>11</v>
      </c>
      <c r="B440" s="2" t="s">
        <v>17</v>
      </c>
      <c r="C440" s="2" t="s">
        <v>18</v>
      </c>
      <c r="D440" s="2" t="s">
        <v>22</v>
      </c>
      <c r="E440" s="2" t="s">
        <v>30</v>
      </c>
      <c r="F440" s="2" t="s">
        <v>39</v>
      </c>
      <c r="G440" s="3">
        <v>1585125</v>
      </c>
      <c r="H440" s="3">
        <v>1120815</v>
      </c>
      <c r="I440" s="2" t="s">
        <v>11</v>
      </c>
      <c r="J440" s="3">
        <f t="shared" si="6"/>
        <v>93401.25</v>
      </c>
    </row>
    <row r="441" spans="1:10" x14ac:dyDescent="0.35">
      <c r="A441" s="2" t="s">
        <v>14</v>
      </c>
      <c r="B441" s="2" t="s">
        <v>16</v>
      </c>
      <c r="C441" s="2" t="s">
        <v>19</v>
      </c>
      <c r="D441" s="2" t="s">
        <v>28</v>
      </c>
      <c r="E441" s="2" t="s">
        <v>33</v>
      </c>
      <c r="F441" s="2" t="s">
        <v>36</v>
      </c>
      <c r="G441" s="3">
        <v>3314982</v>
      </c>
      <c r="H441" s="3">
        <v>2332537</v>
      </c>
      <c r="I441" s="2" t="s">
        <v>40</v>
      </c>
      <c r="J441" s="3">
        <f t="shared" si="6"/>
        <v>194378.08333333334</v>
      </c>
    </row>
    <row r="442" spans="1:10" x14ac:dyDescent="0.35">
      <c r="A442" s="2" t="s">
        <v>14</v>
      </c>
      <c r="B442" s="2" t="s">
        <v>15</v>
      </c>
      <c r="C442" s="2" t="s">
        <v>19</v>
      </c>
      <c r="D442" s="2" t="s">
        <v>20</v>
      </c>
      <c r="E442" s="2" t="s">
        <v>33</v>
      </c>
      <c r="F442" s="2" t="s">
        <v>37</v>
      </c>
      <c r="G442" s="3">
        <v>701349</v>
      </c>
      <c r="H442" s="3">
        <v>564236</v>
      </c>
      <c r="I442" s="2" t="s">
        <v>40</v>
      </c>
      <c r="J442" s="3">
        <f t="shared" si="6"/>
        <v>47019.666666666664</v>
      </c>
    </row>
    <row r="443" spans="1:10" x14ac:dyDescent="0.35">
      <c r="A443" s="2" t="s">
        <v>13</v>
      </c>
      <c r="B443" s="2" t="s">
        <v>15</v>
      </c>
      <c r="C443" s="2" t="s">
        <v>18</v>
      </c>
      <c r="D443" s="2" t="s">
        <v>25</v>
      </c>
      <c r="E443" s="2" t="s">
        <v>33</v>
      </c>
      <c r="F443" s="2" t="s">
        <v>37</v>
      </c>
      <c r="G443" s="3">
        <v>1087687</v>
      </c>
      <c r="H443" s="3">
        <v>868789</v>
      </c>
      <c r="I443" s="2" t="s">
        <v>9</v>
      </c>
      <c r="J443" s="3">
        <f t="shared" si="6"/>
        <v>72399.083333333328</v>
      </c>
    </row>
    <row r="444" spans="1:10" x14ac:dyDescent="0.35">
      <c r="A444" s="2" t="s">
        <v>9</v>
      </c>
      <c r="B444" s="2" t="s">
        <v>17</v>
      </c>
      <c r="C444" s="2" t="s">
        <v>19</v>
      </c>
      <c r="D444" s="2" t="s">
        <v>20</v>
      </c>
      <c r="E444" s="2" t="s">
        <v>34</v>
      </c>
      <c r="F444" s="2" t="s">
        <v>38</v>
      </c>
      <c r="G444" s="3">
        <v>1415487</v>
      </c>
      <c r="H444" s="3">
        <v>1119799</v>
      </c>
      <c r="I444" s="2" t="s">
        <v>9</v>
      </c>
      <c r="J444" s="3">
        <f t="shared" si="6"/>
        <v>93316.583333333328</v>
      </c>
    </row>
    <row r="445" spans="1:10" x14ac:dyDescent="0.35">
      <c r="A445" s="2" t="s">
        <v>9</v>
      </c>
      <c r="B445" s="2" t="s">
        <v>17</v>
      </c>
      <c r="C445" s="2" t="s">
        <v>19</v>
      </c>
      <c r="D445" s="2" t="s">
        <v>22</v>
      </c>
      <c r="E445" s="2" t="s">
        <v>31</v>
      </c>
      <c r="F445" s="2" t="s">
        <v>37</v>
      </c>
      <c r="G445" s="3">
        <v>856049</v>
      </c>
      <c r="H445" s="3">
        <v>652059</v>
      </c>
      <c r="I445" s="2" t="s">
        <v>9</v>
      </c>
      <c r="J445" s="3">
        <f t="shared" si="6"/>
        <v>54338.25</v>
      </c>
    </row>
    <row r="446" spans="1:10" x14ac:dyDescent="0.35">
      <c r="A446" s="2" t="s">
        <v>9</v>
      </c>
      <c r="B446" s="2" t="s">
        <v>17</v>
      </c>
      <c r="C446" s="2" t="s">
        <v>18</v>
      </c>
      <c r="D446" s="2" t="s">
        <v>28</v>
      </c>
      <c r="E446" s="2" t="s">
        <v>30</v>
      </c>
      <c r="F446" s="2" t="s">
        <v>38</v>
      </c>
      <c r="G446" s="3">
        <v>991357</v>
      </c>
      <c r="H446" s="3">
        <v>791679</v>
      </c>
      <c r="I446" s="2" t="s">
        <v>9</v>
      </c>
      <c r="J446" s="3">
        <f t="shared" si="6"/>
        <v>65973.25</v>
      </c>
    </row>
    <row r="447" spans="1:10" x14ac:dyDescent="0.35">
      <c r="A447" s="2" t="s">
        <v>12</v>
      </c>
      <c r="B447" s="2" t="s">
        <v>17</v>
      </c>
      <c r="C447" s="2" t="s">
        <v>18</v>
      </c>
      <c r="D447" s="2" t="s">
        <v>23</v>
      </c>
      <c r="E447" s="2" t="s">
        <v>30</v>
      </c>
      <c r="F447" s="2" t="s">
        <v>39</v>
      </c>
      <c r="G447" s="3">
        <v>2192186</v>
      </c>
      <c r="H447" s="3">
        <v>1748739</v>
      </c>
      <c r="I447" s="2" t="s">
        <v>11</v>
      </c>
      <c r="J447" s="3">
        <f t="shared" si="6"/>
        <v>145728.25</v>
      </c>
    </row>
    <row r="448" spans="1:10" x14ac:dyDescent="0.35">
      <c r="A448" s="2" t="s">
        <v>14</v>
      </c>
      <c r="B448" s="2" t="s">
        <v>17</v>
      </c>
      <c r="C448" s="2" t="s">
        <v>19</v>
      </c>
      <c r="D448" s="2" t="s">
        <v>21</v>
      </c>
      <c r="E448" s="2" t="s">
        <v>33</v>
      </c>
      <c r="F448" s="2" t="s">
        <v>38</v>
      </c>
      <c r="G448" s="3">
        <v>2116244</v>
      </c>
      <c r="H448" s="3">
        <v>1693708</v>
      </c>
      <c r="I448" s="2" t="s">
        <v>40</v>
      </c>
      <c r="J448" s="3">
        <f t="shared" si="6"/>
        <v>141142.33333333334</v>
      </c>
    </row>
    <row r="449" spans="1:10" x14ac:dyDescent="0.35">
      <c r="A449" s="2" t="s">
        <v>12</v>
      </c>
      <c r="B449" s="2" t="s">
        <v>16</v>
      </c>
      <c r="C449" s="2" t="s">
        <v>19</v>
      </c>
      <c r="D449" s="2" t="s">
        <v>25</v>
      </c>
      <c r="E449" s="2" t="s">
        <v>34</v>
      </c>
      <c r="F449" s="2" t="s">
        <v>37</v>
      </c>
      <c r="G449" s="3">
        <v>3556916</v>
      </c>
      <c r="H449" s="3">
        <v>2533985</v>
      </c>
      <c r="I449" s="2" t="s">
        <v>11</v>
      </c>
      <c r="J449" s="3">
        <f t="shared" si="6"/>
        <v>211165.41666666666</v>
      </c>
    </row>
    <row r="450" spans="1:10" x14ac:dyDescent="0.35">
      <c r="A450" s="2" t="s">
        <v>14</v>
      </c>
      <c r="B450" s="2" t="s">
        <v>17</v>
      </c>
      <c r="C450" s="2" t="s">
        <v>18</v>
      </c>
      <c r="D450" s="2" t="s">
        <v>24</v>
      </c>
      <c r="E450" s="2" t="s">
        <v>32</v>
      </c>
      <c r="F450" s="2" t="s">
        <v>38</v>
      </c>
      <c r="G450" s="3">
        <v>2912353</v>
      </c>
      <c r="H450" s="3">
        <v>2302108</v>
      </c>
      <c r="I450" s="2" t="s">
        <v>40</v>
      </c>
      <c r="J450" s="3">
        <f t="shared" si="6"/>
        <v>191842.33333333334</v>
      </c>
    </row>
    <row r="451" spans="1:10" x14ac:dyDescent="0.35">
      <c r="A451" s="2" t="s">
        <v>13</v>
      </c>
      <c r="B451" s="2" t="s">
        <v>16</v>
      </c>
      <c r="C451" s="2" t="s">
        <v>18</v>
      </c>
      <c r="D451" s="2" t="s">
        <v>27</v>
      </c>
      <c r="E451" s="2" t="s">
        <v>30</v>
      </c>
      <c r="F451" s="2" t="s">
        <v>38</v>
      </c>
      <c r="G451" s="3">
        <v>3495025</v>
      </c>
      <c r="H451" s="3">
        <v>2569688</v>
      </c>
      <c r="I451" s="2" t="s">
        <v>9</v>
      </c>
      <c r="J451" s="3">
        <f t="shared" ref="J451:J514" si="7">H451/12</f>
        <v>214140.66666666666</v>
      </c>
    </row>
    <row r="452" spans="1:10" x14ac:dyDescent="0.35">
      <c r="A452" s="2" t="s">
        <v>14</v>
      </c>
      <c r="B452" s="2" t="s">
        <v>16</v>
      </c>
      <c r="C452" s="2" t="s">
        <v>19</v>
      </c>
      <c r="D452" s="2" t="s">
        <v>26</v>
      </c>
      <c r="E452" s="2" t="s">
        <v>34</v>
      </c>
      <c r="F452" s="2" t="s">
        <v>39</v>
      </c>
      <c r="G452" s="3">
        <v>4034288</v>
      </c>
      <c r="H452" s="3">
        <v>2884266</v>
      </c>
      <c r="I452" s="2" t="s">
        <v>40</v>
      </c>
      <c r="J452" s="3">
        <f t="shared" si="7"/>
        <v>240355.5</v>
      </c>
    </row>
    <row r="453" spans="1:10" x14ac:dyDescent="0.35">
      <c r="A453" s="2" t="s">
        <v>11</v>
      </c>
      <c r="B453" s="2" t="s">
        <v>17</v>
      </c>
      <c r="C453" s="2" t="s">
        <v>19</v>
      </c>
      <c r="D453" s="2" t="s">
        <v>24</v>
      </c>
      <c r="E453" s="2" t="s">
        <v>35</v>
      </c>
      <c r="F453" s="2" t="s">
        <v>39</v>
      </c>
      <c r="G453" s="3">
        <v>1725138</v>
      </c>
      <c r="H453" s="3">
        <v>1327682</v>
      </c>
      <c r="I453" s="2" t="s">
        <v>11</v>
      </c>
      <c r="J453" s="3">
        <f t="shared" si="7"/>
        <v>110640.16666666667</v>
      </c>
    </row>
    <row r="454" spans="1:10" x14ac:dyDescent="0.35">
      <c r="A454" s="2" t="s">
        <v>10</v>
      </c>
      <c r="B454" s="2" t="s">
        <v>16</v>
      </c>
      <c r="C454" s="2" t="s">
        <v>19</v>
      </c>
      <c r="D454" s="2" t="s">
        <v>24</v>
      </c>
      <c r="E454" s="2" t="s">
        <v>29</v>
      </c>
      <c r="F454" s="2" t="s">
        <v>37</v>
      </c>
      <c r="G454" s="3">
        <v>5403224</v>
      </c>
      <c r="H454" s="3">
        <v>4313575</v>
      </c>
      <c r="I454" s="2" t="s">
        <v>40</v>
      </c>
      <c r="J454" s="3">
        <f t="shared" si="7"/>
        <v>359464.58333333331</v>
      </c>
    </row>
    <row r="455" spans="1:10" x14ac:dyDescent="0.35">
      <c r="A455" s="2" t="s">
        <v>14</v>
      </c>
      <c r="B455" s="2" t="s">
        <v>16</v>
      </c>
      <c r="C455" s="2" t="s">
        <v>18</v>
      </c>
      <c r="D455" s="2" t="s">
        <v>28</v>
      </c>
      <c r="E455" s="2" t="s">
        <v>34</v>
      </c>
      <c r="F455" s="2" t="s">
        <v>37</v>
      </c>
      <c r="G455" s="3">
        <v>5433558</v>
      </c>
      <c r="H455" s="3">
        <v>4130565</v>
      </c>
      <c r="I455" s="2" t="s">
        <v>40</v>
      </c>
      <c r="J455" s="3">
        <f t="shared" si="7"/>
        <v>344213.75</v>
      </c>
    </row>
    <row r="456" spans="1:10" x14ac:dyDescent="0.35">
      <c r="A456" s="2" t="s">
        <v>9</v>
      </c>
      <c r="B456" s="2" t="s">
        <v>17</v>
      </c>
      <c r="C456" s="2" t="s">
        <v>19</v>
      </c>
      <c r="D456" s="2" t="s">
        <v>28</v>
      </c>
      <c r="E456" s="2" t="s">
        <v>31</v>
      </c>
      <c r="F456" s="2" t="s">
        <v>36</v>
      </c>
      <c r="G456" s="3">
        <v>1464872</v>
      </c>
      <c r="H456" s="3">
        <v>1140824</v>
      </c>
      <c r="I456" s="2" t="s">
        <v>9</v>
      </c>
      <c r="J456" s="3">
        <f t="shared" si="7"/>
        <v>95068.666666666672</v>
      </c>
    </row>
    <row r="457" spans="1:10" x14ac:dyDescent="0.35">
      <c r="A457" s="2" t="s">
        <v>9</v>
      </c>
      <c r="B457" s="2" t="s">
        <v>16</v>
      </c>
      <c r="C457" s="2" t="s">
        <v>18</v>
      </c>
      <c r="D457" s="2" t="s">
        <v>21</v>
      </c>
      <c r="E457" s="2" t="s">
        <v>34</v>
      </c>
      <c r="F457" s="2" t="s">
        <v>37</v>
      </c>
      <c r="G457" s="3">
        <v>2494446</v>
      </c>
      <c r="H457" s="3">
        <v>1897082</v>
      </c>
      <c r="I457" s="2" t="s">
        <v>9</v>
      </c>
      <c r="J457" s="3">
        <f t="shared" si="7"/>
        <v>158090.16666666666</v>
      </c>
    </row>
    <row r="458" spans="1:10" x14ac:dyDescent="0.35">
      <c r="A458" s="2" t="s">
        <v>9</v>
      </c>
      <c r="B458" s="2" t="s">
        <v>17</v>
      </c>
      <c r="C458" s="2" t="s">
        <v>18</v>
      </c>
      <c r="D458" s="2" t="s">
        <v>27</v>
      </c>
      <c r="E458" s="2" t="s">
        <v>33</v>
      </c>
      <c r="F458" s="2" t="s">
        <v>36</v>
      </c>
      <c r="G458" s="3">
        <v>1737584</v>
      </c>
      <c r="H458" s="3">
        <v>1388293</v>
      </c>
      <c r="I458" s="2" t="s">
        <v>9</v>
      </c>
      <c r="J458" s="3">
        <f t="shared" si="7"/>
        <v>115691.08333333333</v>
      </c>
    </row>
    <row r="459" spans="1:10" x14ac:dyDescent="0.35">
      <c r="A459" s="2" t="s">
        <v>9</v>
      </c>
      <c r="B459" s="2" t="s">
        <v>17</v>
      </c>
      <c r="C459" s="2" t="s">
        <v>18</v>
      </c>
      <c r="D459" s="2" t="s">
        <v>23</v>
      </c>
      <c r="E459" s="2" t="s">
        <v>32</v>
      </c>
      <c r="F459" s="2" t="s">
        <v>36</v>
      </c>
      <c r="G459" s="3">
        <v>973495</v>
      </c>
      <c r="H459" s="3">
        <v>687818</v>
      </c>
      <c r="I459" s="2" t="s">
        <v>9</v>
      </c>
      <c r="J459" s="3">
        <f t="shared" si="7"/>
        <v>57318.166666666664</v>
      </c>
    </row>
    <row r="460" spans="1:10" x14ac:dyDescent="0.35">
      <c r="A460" s="2" t="s">
        <v>14</v>
      </c>
      <c r="B460" s="2" t="s">
        <v>17</v>
      </c>
      <c r="C460" s="2" t="s">
        <v>19</v>
      </c>
      <c r="D460" s="2" t="s">
        <v>27</v>
      </c>
      <c r="E460" s="2" t="s">
        <v>32</v>
      </c>
      <c r="F460" s="2" t="s">
        <v>37</v>
      </c>
      <c r="G460" s="3">
        <v>1926087</v>
      </c>
      <c r="H460" s="3">
        <v>1376869</v>
      </c>
      <c r="I460" s="2" t="s">
        <v>40</v>
      </c>
      <c r="J460" s="3">
        <f t="shared" si="7"/>
        <v>114739.08333333333</v>
      </c>
    </row>
    <row r="461" spans="1:10" x14ac:dyDescent="0.35">
      <c r="A461" s="2" t="s">
        <v>10</v>
      </c>
      <c r="B461" s="2" t="s">
        <v>16</v>
      </c>
      <c r="C461" s="2" t="s">
        <v>18</v>
      </c>
      <c r="D461" s="2" t="s">
        <v>26</v>
      </c>
      <c r="E461" s="2" t="s">
        <v>35</v>
      </c>
      <c r="F461" s="2" t="s">
        <v>38</v>
      </c>
      <c r="G461" s="3">
        <v>3863418</v>
      </c>
      <c r="H461" s="3">
        <v>3020670</v>
      </c>
      <c r="I461" s="2" t="s">
        <v>40</v>
      </c>
      <c r="J461" s="3">
        <f t="shared" si="7"/>
        <v>251722.5</v>
      </c>
    </row>
    <row r="462" spans="1:10" x14ac:dyDescent="0.35">
      <c r="A462" s="2" t="s">
        <v>12</v>
      </c>
      <c r="B462" s="2" t="s">
        <v>17</v>
      </c>
      <c r="C462" s="2" t="s">
        <v>18</v>
      </c>
      <c r="D462" s="2" t="s">
        <v>27</v>
      </c>
      <c r="E462" s="2" t="s">
        <v>30</v>
      </c>
      <c r="F462" s="2" t="s">
        <v>38</v>
      </c>
      <c r="G462" s="3">
        <v>2006735</v>
      </c>
      <c r="H462" s="3">
        <v>1550118</v>
      </c>
      <c r="I462" s="2" t="s">
        <v>11</v>
      </c>
      <c r="J462" s="3">
        <f t="shared" si="7"/>
        <v>129176.5</v>
      </c>
    </row>
    <row r="463" spans="1:10" x14ac:dyDescent="0.35">
      <c r="A463" s="2" t="s">
        <v>11</v>
      </c>
      <c r="B463" s="2" t="s">
        <v>17</v>
      </c>
      <c r="C463" s="2" t="s">
        <v>18</v>
      </c>
      <c r="D463" s="2" t="s">
        <v>20</v>
      </c>
      <c r="E463" s="2" t="s">
        <v>29</v>
      </c>
      <c r="F463" s="2" t="s">
        <v>39</v>
      </c>
      <c r="G463" s="3">
        <v>1283266</v>
      </c>
      <c r="H463" s="3">
        <v>1010669</v>
      </c>
      <c r="I463" s="2" t="s">
        <v>11</v>
      </c>
      <c r="J463" s="3">
        <f t="shared" si="7"/>
        <v>84222.416666666672</v>
      </c>
    </row>
    <row r="464" spans="1:10" x14ac:dyDescent="0.35">
      <c r="A464" s="2" t="s">
        <v>9</v>
      </c>
      <c r="B464" s="2" t="s">
        <v>15</v>
      </c>
      <c r="C464" s="2" t="s">
        <v>18</v>
      </c>
      <c r="D464" s="2" t="s">
        <v>27</v>
      </c>
      <c r="E464" s="2" t="s">
        <v>30</v>
      </c>
      <c r="F464" s="2" t="s">
        <v>38</v>
      </c>
      <c r="G464" s="3">
        <v>422876</v>
      </c>
      <c r="H464" s="3">
        <v>316842</v>
      </c>
      <c r="I464" s="2" t="s">
        <v>9</v>
      </c>
      <c r="J464" s="3">
        <f t="shared" si="7"/>
        <v>26403.5</v>
      </c>
    </row>
    <row r="465" spans="1:10" x14ac:dyDescent="0.35">
      <c r="A465" s="2" t="s">
        <v>13</v>
      </c>
      <c r="B465" s="2" t="s">
        <v>15</v>
      </c>
      <c r="C465" s="2" t="s">
        <v>19</v>
      </c>
      <c r="D465" s="2" t="s">
        <v>21</v>
      </c>
      <c r="E465" s="2" t="s">
        <v>34</v>
      </c>
      <c r="F465" s="2" t="s">
        <v>39</v>
      </c>
      <c r="G465" s="3">
        <v>1152236</v>
      </c>
      <c r="H465" s="3">
        <v>934314</v>
      </c>
      <c r="I465" s="2" t="s">
        <v>9</v>
      </c>
      <c r="J465" s="3">
        <f t="shared" si="7"/>
        <v>77859.5</v>
      </c>
    </row>
    <row r="466" spans="1:10" x14ac:dyDescent="0.35">
      <c r="A466" s="2" t="s">
        <v>10</v>
      </c>
      <c r="B466" s="2" t="s">
        <v>16</v>
      </c>
      <c r="C466" s="2" t="s">
        <v>18</v>
      </c>
      <c r="D466" s="2" t="s">
        <v>23</v>
      </c>
      <c r="E466" s="2" t="s">
        <v>34</v>
      </c>
      <c r="F466" s="2" t="s">
        <v>39</v>
      </c>
      <c r="G466" s="3">
        <v>4475345</v>
      </c>
      <c r="H466" s="3">
        <v>3622330</v>
      </c>
      <c r="I466" s="2" t="s">
        <v>40</v>
      </c>
      <c r="J466" s="3">
        <f t="shared" si="7"/>
        <v>301860.83333333331</v>
      </c>
    </row>
    <row r="467" spans="1:10" x14ac:dyDescent="0.35">
      <c r="A467" s="2" t="s">
        <v>13</v>
      </c>
      <c r="B467" s="2" t="s">
        <v>16</v>
      </c>
      <c r="C467" s="2" t="s">
        <v>19</v>
      </c>
      <c r="D467" s="2" t="s">
        <v>21</v>
      </c>
      <c r="E467" s="2" t="s">
        <v>30</v>
      </c>
      <c r="F467" s="2" t="s">
        <v>38</v>
      </c>
      <c r="G467" s="3">
        <v>3460452</v>
      </c>
      <c r="H467" s="3">
        <v>2478575</v>
      </c>
      <c r="I467" s="2" t="s">
        <v>9</v>
      </c>
      <c r="J467" s="3">
        <f t="shared" si="7"/>
        <v>206547.91666666666</v>
      </c>
    </row>
    <row r="468" spans="1:10" x14ac:dyDescent="0.35">
      <c r="A468" s="2" t="s">
        <v>14</v>
      </c>
      <c r="B468" s="2" t="s">
        <v>15</v>
      </c>
      <c r="C468" s="2" t="s">
        <v>19</v>
      </c>
      <c r="D468" s="2" t="s">
        <v>26</v>
      </c>
      <c r="E468" s="2" t="s">
        <v>30</v>
      </c>
      <c r="F468" s="2" t="s">
        <v>36</v>
      </c>
      <c r="G468" s="3">
        <v>769420</v>
      </c>
      <c r="H468" s="3">
        <v>598861</v>
      </c>
      <c r="I468" s="2" t="s">
        <v>40</v>
      </c>
      <c r="J468" s="3">
        <f t="shared" si="7"/>
        <v>49905.083333333336</v>
      </c>
    </row>
    <row r="469" spans="1:10" x14ac:dyDescent="0.35">
      <c r="A469" s="2" t="s">
        <v>14</v>
      </c>
      <c r="B469" s="2" t="s">
        <v>15</v>
      </c>
      <c r="C469" s="2" t="s">
        <v>19</v>
      </c>
      <c r="D469" s="2" t="s">
        <v>25</v>
      </c>
      <c r="E469" s="2" t="s">
        <v>31</v>
      </c>
      <c r="F469" s="2" t="s">
        <v>38</v>
      </c>
      <c r="G469" s="3">
        <v>844638</v>
      </c>
      <c r="H469" s="3">
        <v>666628</v>
      </c>
      <c r="I469" s="2" t="s">
        <v>40</v>
      </c>
      <c r="J469" s="3">
        <f t="shared" si="7"/>
        <v>55552.333333333336</v>
      </c>
    </row>
    <row r="470" spans="1:10" x14ac:dyDescent="0.35">
      <c r="A470" s="2" t="s">
        <v>9</v>
      </c>
      <c r="B470" s="2" t="s">
        <v>16</v>
      </c>
      <c r="C470" s="2" t="s">
        <v>18</v>
      </c>
      <c r="D470" s="2" t="s">
        <v>25</v>
      </c>
      <c r="E470" s="2" t="s">
        <v>35</v>
      </c>
      <c r="F470" s="2" t="s">
        <v>38</v>
      </c>
      <c r="G470" s="3">
        <v>2607250</v>
      </c>
      <c r="H470" s="3">
        <v>1998029</v>
      </c>
      <c r="I470" s="2" t="s">
        <v>9</v>
      </c>
      <c r="J470" s="3">
        <f t="shared" si="7"/>
        <v>166502.41666666666</v>
      </c>
    </row>
    <row r="471" spans="1:10" x14ac:dyDescent="0.35">
      <c r="A471" s="2" t="s">
        <v>13</v>
      </c>
      <c r="B471" s="2" t="s">
        <v>16</v>
      </c>
      <c r="C471" s="2" t="s">
        <v>18</v>
      </c>
      <c r="D471" s="2" t="s">
        <v>22</v>
      </c>
      <c r="E471" s="2" t="s">
        <v>34</v>
      </c>
      <c r="F471" s="2" t="s">
        <v>39</v>
      </c>
      <c r="G471" s="3">
        <v>4058496</v>
      </c>
      <c r="H471" s="3">
        <v>3032126</v>
      </c>
      <c r="I471" s="2" t="s">
        <v>9</v>
      </c>
      <c r="J471" s="3">
        <f t="shared" si="7"/>
        <v>252677.16666666666</v>
      </c>
    </row>
    <row r="472" spans="1:10" x14ac:dyDescent="0.35">
      <c r="A472" s="2" t="s">
        <v>12</v>
      </c>
      <c r="B472" s="2" t="s">
        <v>15</v>
      </c>
      <c r="C472" s="2" t="s">
        <v>18</v>
      </c>
      <c r="D472" s="2" t="s">
        <v>20</v>
      </c>
      <c r="E472" s="2" t="s">
        <v>29</v>
      </c>
      <c r="F472" s="2" t="s">
        <v>36</v>
      </c>
      <c r="G472" s="3">
        <v>1005208</v>
      </c>
      <c r="H472" s="3">
        <v>757105</v>
      </c>
      <c r="I472" s="2" t="s">
        <v>11</v>
      </c>
      <c r="J472" s="3">
        <f t="shared" si="7"/>
        <v>63092.083333333336</v>
      </c>
    </row>
    <row r="473" spans="1:10" x14ac:dyDescent="0.35">
      <c r="A473" s="2" t="s">
        <v>14</v>
      </c>
      <c r="B473" s="2" t="s">
        <v>15</v>
      </c>
      <c r="C473" s="2" t="s">
        <v>18</v>
      </c>
      <c r="D473" s="2" t="s">
        <v>23</v>
      </c>
      <c r="E473" s="2" t="s">
        <v>34</v>
      </c>
      <c r="F473" s="2" t="s">
        <v>37</v>
      </c>
      <c r="G473" s="3">
        <v>841566</v>
      </c>
      <c r="H473" s="3">
        <v>636619</v>
      </c>
      <c r="I473" s="2" t="s">
        <v>40</v>
      </c>
      <c r="J473" s="3">
        <f t="shared" si="7"/>
        <v>53051.583333333336</v>
      </c>
    </row>
    <row r="474" spans="1:10" x14ac:dyDescent="0.35">
      <c r="A474" s="2" t="s">
        <v>11</v>
      </c>
      <c r="B474" s="2" t="s">
        <v>16</v>
      </c>
      <c r="C474" s="2" t="s">
        <v>19</v>
      </c>
      <c r="D474" s="2" t="s">
        <v>27</v>
      </c>
      <c r="E474" s="2" t="s">
        <v>34</v>
      </c>
      <c r="F474" s="2" t="s">
        <v>36</v>
      </c>
      <c r="G474" s="3">
        <v>2883757</v>
      </c>
      <c r="H474" s="3">
        <v>2196113</v>
      </c>
      <c r="I474" s="2" t="s">
        <v>11</v>
      </c>
      <c r="J474" s="3">
        <f t="shared" si="7"/>
        <v>183009.41666666666</v>
      </c>
    </row>
    <row r="475" spans="1:10" x14ac:dyDescent="0.35">
      <c r="A475" s="2" t="s">
        <v>14</v>
      </c>
      <c r="B475" s="2" t="s">
        <v>17</v>
      </c>
      <c r="C475" s="2" t="s">
        <v>18</v>
      </c>
      <c r="D475" s="2" t="s">
        <v>21</v>
      </c>
      <c r="E475" s="2" t="s">
        <v>35</v>
      </c>
      <c r="F475" s="2" t="s">
        <v>39</v>
      </c>
      <c r="G475" s="3">
        <v>1708781</v>
      </c>
      <c r="H475" s="3">
        <v>1294751</v>
      </c>
      <c r="I475" s="2" t="s">
        <v>40</v>
      </c>
      <c r="J475" s="3">
        <f t="shared" si="7"/>
        <v>107895.91666666667</v>
      </c>
    </row>
    <row r="476" spans="1:10" x14ac:dyDescent="0.35">
      <c r="A476" s="2" t="s">
        <v>9</v>
      </c>
      <c r="B476" s="2" t="s">
        <v>16</v>
      </c>
      <c r="C476" s="2" t="s">
        <v>18</v>
      </c>
      <c r="D476" s="2" t="s">
        <v>26</v>
      </c>
      <c r="E476" s="2" t="s">
        <v>31</v>
      </c>
      <c r="F476" s="2" t="s">
        <v>39</v>
      </c>
      <c r="G476" s="3">
        <v>2250858</v>
      </c>
      <c r="H476" s="3">
        <v>1622185</v>
      </c>
      <c r="I476" s="2" t="s">
        <v>9</v>
      </c>
      <c r="J476" s="3">
        <f t="shared" si="7"/>
        <v>135182.08333333334</v>
      </c>
    </row>
    <row r="477" spans="1:10" x14ac:dyDescent="0.35">
      <c r="A477" s="2" t="s">
        <v>12</v>
      </c>
      <c r="B477" s="2" t="s">
        <v>16</v>
      </c>
      <c r="C477" s="2" t="s">
        <v>19</v>
      </c>
      <c r="D477" s="2" t="s">
        <v>20</v>
      </c>
      <c r="E477" s="2" t="s">
        <v>35</v>
      </c>
      <c r="F477" s="2" t="s">
        <v>36</v>
      </c>
      <c r="G477" s="3">
        <v>4991445</v>
      </c>
      <c r="H477" s="3">
        <v>3929669</v>
      </c>
      <c r="I477" s="2" t="s">
        <v>11</v>
      </c>
      <c r="J477" s="3">
        <f t="shared" si="7"/>
        <v>327472.41666666669</v>
      </c>
    </row>
    <row r="478" spans="1:10" x14ac:dyDescent="0.35">
      <c r="A478" s="2" t="s">
        <v>11</v>
      </c>
      <c r="B478" s="2" t="s">
        <v>15</v>
      </c>
      <c r="C478" s="2" t="s">
        <v>19</v>
      </c>
      <c r="D478" s="2" t="s">
        <v>20</v>
      </c>
      <c r="E478" s="2" t="s">
        <v>32</v>
      </c>
      <c r="F478" s="2" t="s">
        <v>36</v>
      </c>
      <c r="G478" s="3">
        <v>557899</v>
      </c>
      <c r="H478" s="3">
        <v>394356</v>
      </c>
      <c r="I478" s="2" t="s">
        <v>11</v>
      </c>
      <c r="J478" s="3">
        <f t="shared" si="7"/>
        <v>32863</v>
      </c>
    </row>
    <row r="479" spans="1:10" x14ac:dyDescent="0.35">
      <c r="A479" s="2" t="s">
        <v>12</v>
      </c>
      <c r="B479" s="2" t="s">
        <v>17</v>
      </c>
      <c r="C479" s="2" t="s">
        <v>18</v>
      </c>
      <c r="D479" s="2" t="s">
        <v>27</v>
      </c>
      <c r="E479" s="2" t="s">
        <v>33</v>
      </c>
      <c r="F479" s="2" t="s">
        <v>39</v>
      </c>
      <c r="G479" s="3">
        <v>1844337</v>
      </c>
      <c r="H479" s="3">
        <v>1331809</v>
      </c>
      <c r="I479" s="2" t="s">
        <v>11</v>
      </c>
      <c r="J479" s="3">
        <f t="shared" si="7"/>
        <v>110984.08333333333</v>
      </c>
    </row>
    <row r="480" spans="1:10" x14ac:dyDescent="0.35">
      <c r="A480" s="2" t="s">
        <v>12</v>
      </c>
      <c r="B480" s="2" t="s">
        <v>15</v>
      </c>
      <c r="C480" s="2" t="s">
        <v>18</v>
      </c>
      <c r="D480" s="2" t="s">
        <v>28</v>
      </c>
      <c r="E480" s="2" t="s">
        <v>34</v>
      </c>
      <c r="F480" s="2" t="s">
        <v>38</v>
      </c>
      <c r="G480" s="3">
        <v>725494</v>
      </c>
      <c r="H480" s="3">
        <v>528685</v>
      </c>
      <c r="I480" s="2" t="s">
        <v>11</v>
      </c>
      <c r="J480" s="3">
        <f t="shared" si="7"/>
        <v>44057.083333333336</v>
      </c>
    </row>
    <row r="481" spans="1:10" x14ac:dyDescent="0.35">
      <c r="A481" s="2" t="s">
        <v>14</v>
      </c>
      <c r="B481" s="2" t="s">
        <v>17</v>
      </c>
      <c r="C481" s="2" t="s">
        <v>19</v>
      </c>
      <c r="D481" s="2" t="s">
        <v>25</v>
      </c>
      <c r="E481" s="2" t="s">
        <v>33</v>
      </c>
      <c r="F481" s="2" t="s">
        <v>37</v>
      </c>
      <c r="G481" s="3">
        <v>1509755</v>
      </c>
      <c r="H481" s="3">
        <v>1179645</v>
      </c>
      <c r="I481" s="2" t="s">
        <v>40</v>
      </c>
      <c r="J481" s="3">
        <f t="shared" si="7"/>
        <v>98303.75</v>
      </c>
    </row>
    <row r="482" spans="1:10" x14ac:dyDescent="0.35">
      <c r="A482" s="2" t="s">
        <v>14</v>
      </c>
      <c r="B482" s="2" t="s">
        <v>16</v>
      </c>
      <c r="C482" s="2" t="s">
        <v>18</v>
      </c>
      <c r="D482" s="2" t="s">
        <v>22</v>
      </c>
      <c r="E482" s="2" t="s">
        <v>35</v>
      </c>
      <c r="F482" s="2" t="s">
        <v>37</v>
      </c>
      <c r="G482" s="3">
        <v>4844086</v>
      </c>
      <c r="H482" s="3">
        <v>3889512</v>
      </c>
      <c r="I482" s="2" t="s">
        <v>40</v>
      </c>
      <c r="J482" s="3">
        <f t="shared" si="7"/>
        <v>324126</v>
      </c>
    </row>
    <row r="483" spans="1:10" x14ac:dyDescent="0.35">
      <c r="A483" s="2" t="s">
        <v>12</v>
      </c>
      <c r="B483" s="2" t="s">
        <v>16</v>
      </c>
      <c r="C483" s="2" t="s">
        <v>19</v>
      </c>
      <c r="D483" s="2" t="s">
        <v>24</v>
      </c>
      <c r="E483" s="2" t="s">
        <v>31</v>
      </c>
      <c r="F483" s="2" t="s">
        <v>38</v>
      </c>
      <c r="G483" s="3">
        <v>5128000</v>
      </c>
      <c r="H483" s="3">
        <v>3823753</v>
      </c>
      <c r="I483" s="2" t="s">
        <v>11</v>
      </c>
      <c r="J483" s="3">
        <f t="shared" si="7"/>
        <v>318646.08333333331</v>
      </c>
    </row>
    <row r="484" spans="1:10" x14ac:dyDescent="0.35">
      <c r="A484" s="2" t="s">
        <v>9</v>
      </c>
      <c r="B484" s="2" t="s">
        <v>16</v>
      </c>
      <c r="C484" s="2" t="s">
        <v>18</v>
      </c>
      <c r="D484" s="2" t="s">
        <v>27</v>
      </c>
      <c r="E484" s="2" t="s">
        <v>31</v>
      </c>
      <c r="F484" s="2" t="s">
        <v>38</v>
      </c>
      <c r="G484" s="3">
        <v>2723049</v>
      </c>
      <c r="H484" s="3">
        <v>2132646</v>
      </c>
      <c r="I484" s="2" t="s">
        <v>9</v>
      </c>
      <c r="J484" s="3">
        <f t="shared" si="7"/>
        <v>177720.5</v>
      </c>
    </row>
    <row r="485" spans="1:10" x14ac:dyDescent="0.35">
      <c r="A485" s="2" t="s">
        <v>13</v>
      </c>
      <c r="B485" s="2" t="s">
        <v>15</v>
      </c>
      <c r="C485" s="2" t="s">
        <v>18</v>
      </c>
      <c r="D485" s="2" t="s">
        <v>20</v>
      </c>
      <c r="E485" s="2" t="s">
        <v>30</v>
      </c>
      <c r="F485" s="2" t="s">
        <v>37</v>
      </c>
      <c r="G485" s="3">
        <v>852600</v>
      </c>
      <c r="H485" s="3">
        <v>615605</v>
      </c>
      <c r="I485" s="2" t="s">
        <v>9</v>
      </c>
      <c r="J485" s="3">
        <f t="shared" si="7"/>
        <v>51300.416666666664</v>
      </c>
    </row>
    <row r="486" spans="1:10" x14ac:dyDescent="0.35">
      <c r="A486" s="2" t="s">
        <v>9</v>
      </c>
      <c r="B486" s="2" t="s">
        <v>15</v>
      </c>
      <c r="C486" s="2" t="s">
        <v>19</v>
      </c>
      <c r="D486" s="2" t="s">
        <v>24</v>
      </c>
      <c r="E486" s="2" t="s">
        <v>34</v>
      </c>
      <c r="F486" s="2" t="s">
        <v>38</v>
      </c>
      <c r="G486" s="3">
        <v>594099</v>
      </c>
      <c r="H486" s="3">
        <v>424237</v>
      </c>
      <c r="I486" s="2" t="s">
        <v>9</v>
      </c>
      <c r="J486" s="3">
        <f t="shared" si="7"/>
        <v>35353.083333333336</v>
      </c>
    </row>
    <row r="487" spans="1:10" x14ac:dyDescent="0.35">
      <c r="A487" s="2" t="s">
        <v>9</v>
      </c>
      <c r="B487" s="2" t="s">
        <v>16</v>
      </c>
      <c r="C487" s="2" t="s">
        <v>18</v>
      </c>
      <c r="D487" s="2" t="s">
        <v>20</v>
      </c>
      <c r="E487" s="2" t="s">
        <v>35</v>
      </c>
      <c r="F487" s="2" t="s">
        <v>39</v>
      </c>
      <c r="G487" s="3">
        <v>3239708</v>
      </c>
      <c r="H487" s="3">
        <v>2343108</v>
      </c>
      <c r="I487" s="2" t="s">
        <v>9</v>
      </c>
      <c r="J487" s="3">
        <f t="shared" si="7"/>
        <v>195259</v>
      </c>
    </row>
    <row r="488" spans="1:10" x14ac:dyDescent="0.35">
      <c r="A488" s="2" t="s">
        <v>12</v>
      </c>
      <c r="B488" s="2" t="s">
        <v>16</v>
      </c>
      <c r="C488" s="2" t="s">
        <v>19</v>
      </c>
      <c r="D488" s="2" t="s">
        <v>23</v>
      </c>
      <c r="E488" s="2" t="s">
        <v>30</v>
      </c>
      <c r="F488" s="2" t="s">
        <v>36</v>
      </c>
      <c r="G488" s="3">
        <v>4517790</v>
      </c>
      <c r="H488" s="3">
        <v>3278595</v>
      </c>
      <c r="I488" s="2" t="s">
        <v>11</v>
      </c>
      <c r="J488" s="3">
        <f t="shared" si="7"/>
        <v>273216.25</v>
      </c>
    </row>
    <row r="489" spans="1:10" x14ac:dyDescent="0.35">
      <c r="A489" s="2" t="s">
        <v>9</v>
      </c>
      <c r="B489" s="2" t="s">
        <v>17</v>
      </c>
      <c r="C489" s="2" t="s">
        <v>18</v>
      </c>
      <c r="D489" s="2" t="s">
        <v>21</v>
      </c>
      <c r="E489" s="2" t="s">
        <v>30</v>
      </c>
      <c r="F489" s="2" t="s">
        <v>37</v>
      </c>
      <c r="G489" s="3">
        <v>1314124</v>
      </c>
      <c r="H489" s="3">
        <v>1069865</v>
      </c>
      <c r="I489" s="2" t="s">
        <v>9</v>
      </c>
      <c r="J489" s="3">
        <f t="shared" si="7"/>
        <v>89155.416666666672</v>
      </c>
    </row>
    <row r="490" spans="1:10" x14ac:dyDescent="0.35">
      <c r="A490" s="2" t="s">
        <v>13</v>
      </c>
      <c r="B490" s="2" t="s">
        <v>16</v>
      </c>
      <c r="C490" s="2" t="s">
        <v>18</v>
      </c>
      <c r="D490" s="2" t="s">
        <v>25</v>
      </c>
      <c r="E490" s="2" t="s">
        <v>31</v>
      </c>
      <c r="F490" s="2" t="s">
        <v>38</v>
      </c>
      <c r="G490" s="3">
        <v>3949230</v>
      </c>
      <c r="H490" s="3">
        <v>2832990</v>
      </c>
      <c r="I490" s="2" t="s">
        <v>9</v>
      </c>
      <c r="J490" s="3">
        <f t="shared" si="7"/>
        <v>236082.5</v>
      </c>
    </row>
    <row r="491" spans="1:10" x14ac:dyDescent="0.35">
      <c r="A491" s="2" t="s">
        <v>12</v>
      </c>
      <c r="B491" s="2" t="s">
        <v>17</v>
      </c>
      <c r="C491" s="2" t="s">
        <v>19</v>
      </c>
      <c r="D491" s="2" t="s">
        <v>23</v>
      </c>
      <c r="E491" s="2" t="s">
        <v>31</v>
      </c>
      <c r="F491" s="2" t="s">
        <v>39</v>
      </c>
      <c r="G491" s="3">
        <v>1447039</v>
      </c>
      <c r="H491" s="3">
        <v>1025871</v>
      </c>
      <c r="I491" s="2" t="s">
        <v>11</v>
      </c>
      <c r="J491" s="3">
        <f t="shared" si="7"/>
        <v>85489.25</v>
      </c>
    </row>
    <row r="492" spans="1:10" x14ac:dyDescent="0.35">
      <c r="A492" s="2" t="s">
        <v>13</v>
      </c>
      <c r="B492" s="2" t="s">
        <v>17</v>
      </c>
      <c r="C492" s="2" t="s">
        <v>19</v>
      </c>
      <c r="D492" s="2" t="s">
        <v>20</v>
      </c>
      <c r="E492" s="2" t="s">
        <v>32</v>
      </c>
      <c r="F492" s="2" t="s">
        <v>37</v>
      </c>
      <c r="G492" s="3">
        <v>1518949</v>
      </c>
      <c r="H492" s="3">
        <v>1127089</v>
      </c>
      <c r="I492" s="2" t="s">
        <v>9</v>
      </c>
      <c r="J492" s="3">
        <f t="shared" si="7"/>
        <v>93924.083333333328</v>
      </c>
    </row>
    <row r="493" spans="1:10" x14ac:dyDescent="0.35">
      <c r="A493" s="2" t="s">
        <v>13</v>
      </c>
      <c r="B493" s="2" t="s">
        <v>15</v>
      </c>
      <c r="C493" s="2" t="s">
        <v>18</v>
      </c>
      <c r="D493" s="2" t="s">
        <v>20</v>
      </c>
      <c r="E493" s="2" t="s">
        <v>32</v>
      </c>
      <c r="F493" s="2" t="s">
        <v>39</v>
      </c>
      <c r="G493" s="3">
        <v>1127204</v>
      </c>
      <c r="H493" s="3">
        <v>919231</v>
      </c>
      <c r="I493" s="2" t="s">
        <v>9</v>
      </c>
      <c r="J493" s="3">
        <f t="shared" si="7"/>
        <v>76602.583333333328</v>
      </c>
    </row>
    <row r="494" spans="1:10" x14ac:dyDescent="0.35">
      <c r="A494" s="2" t="s">
        <v>13</v>
      </c>
      <c r="B494" s="2" t="s">
        <v>15</v>
      </c>
      <c r="C494" s="2" t="s">
        <v>18</v>
      </c>
      <c r="D494" s="2" t="s">
        <v>20</v>
      </c>
      <c r="E494" s="2" t="s">
        <v>32</v>
      </c>
      <c r="F494" s="2" t="s">
        <v>36</v>
      </c>
      <c r="G494" s="3">
        <v>1045413</v>
      </c>
      <c r="H494" s="3">
        <v>833652</v>
      </c>
      <c r="I494" s="2" t="s">
        <v>9</v>
      </c>
      <c r="J494" s="3">
        <f t="shared" si="7"/>
        <v>69471</v>
      </c>
    </row>
    <row r="495" spans="1:10" x14ac:dyDescent="0.35">
      <c r="A495" s="2" t="s">
        <v>10</v>
      </c>
      <c r="B495" s="2" t="s">
        <v>16</v>
      </c>
      <c r="C495" s="2" t="s">
        <v>18</v>
      </c>
      <c r="D495" s="2" t="s">
        <v>28</v>
      </c>
      <c r="E495" s="2" t="s">
        <v>29</v>
      </c>
      <c r="F495" s="2" t="s">
        <v>39</v>
      </c>
      <c r="G495" s="3">
        <v>3645965</v>
      </c>
      <c r="H495" s="3">
        <v>2603935</v>
      </c>
      <c r="I495" s="2" t="s">
        <v>40</v>
      </c>
      <c r="J495" s="3">
        <f t="shared" si="7"/>
        <v>216994.58333333334</v>
      </c>
    </row>
    <row r="496" spans="1:10" x14ac:dyDescent="0.35">
      <c r="A496" s="2" t="s">
        <v>11</v>
      </c>
      <c r="B496" s="2" t="s">
        <v>15</v>
      </c>
      <c r="C496" s="2" t="s">
        <v>19</v>
      </c>
      <c r="D496" s="2" t="s">
        <v>25</v>
      </c>
      <c r="E496" s="2" t="s">
        <v>34</v>
      </c>
      <c r="F496" s="2" t="s">
        <v>39</v>
      </c>
      <c r="G496" s="3">
        <v>984332</v>
      </c>
      <c r="H496" s="3">
        <v>803747</v>
      </c>
      <c r="I496" s="2" t="s">
        <v>11</v>
      </c>
      <c r="J496" s="3">
        <f t="shared" si="7"/>
        <v>66978.916666666672</v>
      </c>
    </row>
    <row r="497" spans="1:10" x14ac:dyDescent="0.35">
      <c r="A497" s="2" t="s">
        <v>12</v>
      </c>
      <c r="B497" s="2" t="s">
        <v>17</v>
      </c>
      <c r="C497" s="2" t="s">
        <v>19</v>
      </c>
      <c r="D497" s="2" t="s">
        <v>24</v>
      </c>
      <c r="E497" s="2" t="s">
        <v>30</v>
      </c>
      <c r="F497" s="2" t="s">
        <v>39</v>
      </c>
      <c r="G497" s="3">
        <v>2324519</v>
      </c>
      <c r="H497" s="3">
        <v>1821727</v>
      </c>
      <c r="I497" s="2" t="s">
        <v>11</v>
      </c>
      <c r="J497" s="3">
        <f t="shared" si="7"/>
        <v>151810.58333333334</v>
      </c>
    </row>
    <row r="498" spans="1:10" x14ac:dyDescent="0.35">
      <c r="A498" s="2" t="s">
        <v>11</v>
      </c>
      <c r="B498" s="2" t="s">
        <v>15</v>
      </c>
      <c r="C498" s="2" t="s">
        <v>19</v>
      </c>
      <c r="D498" s="2" t="s">
        <v>24</v>
      </c>
      <c r="E498" s="2" t="s">
        <v>35</v>
      </c>
      <c r="F498" s="2" t="s">
        <v>38</v>
      </c>
      <c r="G498" s="3">
        <v>1068706</v>
      </c>
      <c r="H498" s="3">
        <v>810736</v>
      </c>
      <c r="I498" s="2" t="s">
        <v>11</v>
      </c>
      <c r="J498" s="3">
        <f t="shared" si="7"/>
        <v>67561.333333333328</v>
      </c>
    </row>
    <row r="499" spans="1:10" x14ac:dyDescent="0.35">
      <c r="A499" s="2" t="s">
        <v>10</v>
      </c>
      <c r="B499" s="2" t="s">
        <v>17</v>
      </c>
      <c r="C499" s="2" t="s">
        <v>18</v>
      </c>
      <c r="D499" s="2" t="s">
        <v>20</v>
      </c>
      <c r="E499" s="2" t="s">
        <v>34</v>
      </c>
      <c r="F499" s="2" t="s">
        <v>38</v>
      </c>
      <c r="G499" s="3">
        <v>2803917</v>
      </c>
      <c r="H499" s="3">
        <v>2047851</v>
      </c>
      <c r="I499" s="2" t="s">
        <v>40</v>
      </c>
      <c r="J499" s="3">
        <f t="shared" si="7"/>
        <v>170654.25</v>
      </c>
    </row>
    <row r="500" spans="1:10" x14ac:dyDescent="0.35">
      <c r="A500" s="2" t="s">
        <v>13</v>
      </c>
      <c r="B500" s="2" t="s">
        <v>17</v>
      </c>
      <c r="C500" s="2" t="s">
        <v>19</v>
      </c>
      <c r="D500" s="2" t="s">
        <v>22</v>
      </c>
      <c r="E500" s="2" t="s">
        <v>31</v>
      </c>
      <c r="F500" s="2" t="s">
        <v>36</v>
      </c>
      <c r="G500" s="3">
        <v>1501152</v>
      </c>
      <c r="H500" s="3">
        <v>1215787</v>
      </c>
      <c r="I500" s="2" t="s">
        <v>9</v>
      </c>
      <c r="J500" s="3">
        <f t="shared" si="7"/>
        <v>101315.58333333333</v>
      </c>
    </row>
    <row r="501" spans="1:10" x14ac:dyDescent="0.35">
      <c r="A501" s="2" t="s">
        <v>13</v>
      </c>
      <c r="B501" s="2" t="s">
        <v>16</v>
      </c>
      <c r="C501" s="2" t="s">
        <v>18</v>
      </c>
      <c r="D501" s="2" t="s">
        <v>26</v>
      </c>
      <c r="E501" s="2" t="s">
        <v>35</v>
      </c>
      <c r="F501" s="2" t="s">
        <v>37</v>
      </c>
      <c r="G501" s="3">
        <v>2553392</v>
      </c>
      <c r="H501" s="3">
        <v>1935458</v>
      </c>
      <c r="I501" s="2" t="s">
        <v>9</v>
      </c>
      <c r="J501" s="3">
        <f t="shared" si="7"/>
        <v>161288.16666666666</v>
      </c>
    </row>
    <row r="502" spans="1:10" x14ac:dyDescent="0.35">
      <c r="A502" s="2" t="s">
        <v>12</v>
      </c>
      <c r="B502" s="2" t="s">
        <v>15</v>
      </c>
      <c r="C502" s="2" t="s">
        <v>18</v>
      </c>
      <c r="D502" s="2" t="s">
        <v>25</v>
      </c>
      <c r="E502" s="2" t="s">
        <v>35</v>
      </c>
      <c r="F502" s="2" t="s">
        <v>36</v>
      </c>
      <c r="G502" s="3">
        <v>646508</v>
      </c>
      <c r="H502" s="3">
        <v>468507</v>
      </c>
      <c r="I502" s="2" t="s">
        <v>11</v>
      </c>
      <c r="J502" s="3">
        <f t="shared" si="7"/>
        <v>39042.25</v>
      </c>
    </row>
    <row r="503" spans="1:10" x14ac:dyDescent="0.35">
      <c r="A503" s="2" t="s">
        <v>11</v>
      </c>
      <c r="B503" s="2" t="s">
        <v>16</v>
      </c>
      <c r="C503" s="2" t="s">
        <v>19</v>
      </c>
      <c r="D503" s="2" t="s">
        <v>20</v>
      </c>
      <c r="E503" s="2" t="s">
        <v>29</v>
      </c>
      <c r="F503" s="2" t="s">
        <v>37</v>
      </c>
      <c r="G503" s="3">
        <v>4900289</v>
      </c>
      <c r="H503" s="3">
        <v>3720213</v>
      </c>
      <c r="I503" s="2" t="s">
        <v>11</v>
      </c>
      <c r="J503" s="3">
        <f t="shared" si="7"/>
        <v>310017.75</v>
      </c>
    </row>
    <row r="504" spans="1:10" x14ac:dyDescent="0.35">
      <c r="A504" s="2" t="s">
        <v>12</v>
      </c>
      <c r="B504" s="2" t="s">
        <v>16</v>
      </c>
      <c r="C504" s="2" t="s">
        <v>18</v>
      </c>
      <c r="D504" s="2" t="s">
        <v>24</v>
      </c>
      <c r="E504" s="2" t="s">
        <v>31</v>
      </c>
      <c r="F504" s="2" t="s">
        <v>37</v>
      </c>
      <c r="G504" s="3">
        <v>4404784</v>
      </c>
      <c r="H504" s="3">
        <v>3139792</v>
      </c>
      <c r="I504" s="2" t="s">
        <v>11</v>
      </c>
      <c r="J504" s="3">
        <f t="shared" si="7"/>
        <v>261649.33333333334</v>
      </c>
    </row>
    <row r="505" spans="1:10" x14ac:dyDescent="0.35">
      <c r="A505" s="2" t="s">
        <v>13</v>
      </c>
      <c r="B505" s="2" t="s">
        <v>16</v>
      </c>
      <c r="C505" s="2" t="s">
        <v>19</v>
      </c>
      <c r="D505" s="2" t="s">
        <v>27</v>
      </c>
      <c r="E505" s="2" t="s">
        <v>34</v>
      </c>
      <c r="F505" s="2" t="s">
        <v>39</v>
      </c>
      <c r="G505" s="3">
        <v>2851484</v>
      </c>
      <c r="H505" s="3">
        <v>2104326</v>
      </c>
      <c r="I505" s="2" t="s">
        <v>9</v>
      </c>
      <c r="J505" s="3">
        <f t="shared" si="7"/>
        <v>175360.5</v>
      </c>
    </row>
    <row r="506" spans="1:10" x14ac:dyDescent="0.35">
      <c r="A506" s="2" t="s">
        <v>14</v>
      </c>
      <c r="B506" s="2" t="s">
        <v>17</v>
      </c>
      <c r="C506" s="2" t="s">
        <v>18</v>
      </c>
      <c r="D506" s="2" t="s">
        <v>20</v>
      </c>
      <c r="E506" s="2" t="s">
        <v>30</v>
      </c>
      <c r="F506" s="2" t="s">
        <v>36</v>
      </c>
      <c r="G506" s="3">
        <v>2068722</v>
      </c>
      <c r="H506" s="3">
        <v>1541198</v>
      </c>
      <c r="I506" s="2" t="s">
        <v>40</v>
      </c>
      <c r="J506" s="3">
        <f t="shared" si="7"/>
        <v>128433.16666666667</v>
      </c>
    </row>
    <row r="507" spans="1:10" x14ac:dyDescent="0.35">
      <c r="A507" s="2" t="s">
        <v>12</v>
      </c>
      <c r="B507" s="2" t="s">
        <v>17</v>
      </c>
      <c r="C507" s="2" t="s">
        <v>19</v>
      </c>
      <c r="D507" s="2" t="s">
        <v>22</v>
      </c>
      <c r="E507" s="2" t="s">
        <v>29</v>
      </c>
      <c r="F507" s="2" t="s">
        <v>38</v>
      </c>
      <c r="G507" s="3">
        <v>1215248</v>
      </c>
      <c r="H507" s="3">
        <v>920421</v>
      </c>
      <c r="I507" s="2" t="s">
        <v>11</v>
      </c>
      <c r="J507" s="3">
        <f t="shared" si="7"/>
        <v>76701.75</v>
      </c>
    </row>
    <row r="508" spans="1:10" x14ac:dyDescent="0.35">
      <c r="A508" s="2" t="s">
        <v>10</v>
      </c>
      <c r="B508" s="2" t="s">
        <v>15</v>
      </c>
      <c r="C508" s="2" t="s">
        <v>19</v>
      </c>
      <c r="D508" s="2" t="s">
        <v>25</v>
      </c>
      <c r="E508" s="2" t="s">
        <v>33</v>
      </c>
      <c r="F508" s="2" t="s">
        <v>36</v>
      </c>
      <c r="G508" s="3">
        <v>1242945</v>
      </c>
      <c r="H508" s="3">
        <v>945648</v>
      </c>
      <c r="I508" s="2" t="s">
        <v>40</v>
      </c>
      <c r="J508" s="3">
        <f t="shared" si="7"/>
        <v>78804</v>
      </c>
    </row>
    <row r="509" spans="1:10" x14ac:dyDescent="0.35">
      <c r="A509" s="2" t="s">
        <v>13</v>
      </c>
      <c r="B509" s="2" t="s">
        <v>17</v>
      </c>
      <c r="C509" s="2" t="s">
        <v>19</v>
      </c>
      <c r="D509" s="2" t="s">
        <v>23</v>
      </c>
      <c r="E509" s="2" t="s">
        <v>33</v>
      </c>
      <c r="F509" s="2" t="s">
        <v>38</v>
      </c>
      <c r="G509" s="3">
        <v>2292616</v>
      </c>
      <c r="H509" s="3">
        <v>1661136</v>
      </c>
      <c r="I509" s="2" t="s">
        <v>9</v>
      </c>
      <c r="J509" s="3">
        <f t="shared" si="7"/>
        <v>138428</v>
      </c>
    </row>
    <row r="510" spans="1:10" x14ac:dyDescent="0.35">
      <c r="A510" s="2" t="s">
        <v>13</v>
      </c>
      <c r="B510" s="2" t="s">
        <v>17</v>
      </c>
      <c r="C510" s="2" t="s">
        <v>18</v>
      </c>
      <c r="D510" s="2" t="s">
        <v>28</v>
      </c>
      <c r="E510" s="2" t="s">
        <v>35</v>
      </c>
      <c r="F510" s="2" t="s">
        <v>36</v>
      </c>
      <c r="G510" s="3">
        <v>1523887</v>
      </c>
      <c r="H510" s="3">
        <v>1151461</v>
      </c>
      <c r="I510" s="2" t="s">
        <v>9</v>
      </c>
      <c r="J510" s="3">
        <f t="shared" si="7"/>
        <v>95955.083333333328</v>
      </c>
    </row>
    <row r="511" spans="1:10" x14ac:dyDescent="0.35">
      <c r="A511" s="2" t="s">
        <v>12</v>
      </c>
      <c r="B511" s="2" t="s">
        <v>17</v>
      </c>
      <c r="C511" s="2" t="s">
        <v>19</v>
      </c>
      <c r="D511" s="2" t="s">
        <v>21</v>
      </c>
      <c r="E511" s="2" t="s">
        <v>32</v>
      </c>
      <c r="F511" s="2" t="s">
        <v>39</v>
      </c>
      <c r="G511" s="3">
        <v>2435812</v>
      </c>
      <c r="H511" s="3">
        <v>1917269</v>
      </c>
      <c r="I511" s="2" t="s">
        <v>11</v>
      </c>
      <c r="J511" s="3">
        <f t="shared" si="7"/>
        <v>159772.41666666666</v>
      </c>
    </row>
    <row r="512" spans="1:10" x14ac:dyDescent="0.35">
      <c r="A512" s="2" t="s">
        <v>9</v>
      </c>
      <c r="B512" s="2" t="s">
        <v>15</v>
      </c>
      <c r="C512" s="2" t="s">
        <v>18</v>
      </c>
      <c r="D512" s="2" t="s">
        <v>24</v>
      </c>
      <c r="E512" s="2" t="s">
        <v>34</v>
      </c>
      <c r="F512" s="2" t="s">
        <v>36</v>
      </c>
      <c r="G512" s="3">
        <v>365101</v>
      </c>
      <c r="H512" s="3">
        <v>286101</v>
      </c>
      <c r="I512" s="2" t="s">
        <v>9</v>
      </c>
      <c r="J512" s="3">
        <f t="shared" si="7"/>
        <v>23841.75</v>
      </c>
    </row>
    <row r="513" spans="1:10" x14ac:dyDescent="0.35">
      <c r="A513" s="2" t="s">
        <v>12</v>
      </c>
      <c r="B513" s="2" t="s">
        <v>15</v>
      </c>
      <c r="C513" s="2" t="s">
        <v>18</v>
      </c>
      <c r="D513" s="2" t="s">
        <v>21</v>
      </c>
      <c r="E513" s="2" t="s">
        <v>35</v>
      </c>
      <c r="F513" s="2" t="s">
        <v>38</v>
      </c>
      <c r="G513" s="3">
        <v>649496</v>
      </c>
      <c r="H513" s="3">
        <v>470968</v>
      </c>
      <c r="I513" s="2" t="s">
        <v>11</v>
      </c>
      <c r="J513" s="3">
        <f t="shared" si="7"/>
        <v>39247.333333333336</v>
      </c>
    </row>
    <row r="514" spans="1:10" x14ac:dyDescent="0.35">
      <c r="A514" s="2" t="s">
        <v>12</v>
      </c>
      <c r="B514" s="2" t="s">
        <v>15</v>
      </c>
      <c r="C514" s="2" t="s">
        <v>19</v>
      </c>
      <c r="D514" s="2" t="s">
        <v>26</v>
      </c>
      <c r="E514" s="2" t="s">
        <v>32</v>
      </c>
      <c r="F514" s="2" t="s">
        <v>37</v>
      </c>
      <c r="G514" s="3">
        <v>725294</v>
      </c>
      <c r="H514" s="3">
        <v>509068</v>
      </c>
      <c r="I514" s="2" t="s">
        <v>11</v>
      </c>
      <c r="J514" s="3">
        <f t="shared" si="7"/>
        <v>42422.333333333336</v>
      </c>
    </row>
    <row r="515" spans="1:10" x14ac:dyDescent="0.35">
      <c r="A515" s="2" t="s">
        <v>11</v>
      </c>
      <c r="B515" s="2" t="s">
        <v>15</v>
      </c>
      <c r="C515" s="2" t="s">
        <v>19</v>
      </c>
      <c r="D515" s="2" t="s">
        <v>22</v>
      </c>
      <c r="E515" s="2" t="s">
        <v>35</v>
      </c>
      <c r="F515" s="2" t="s">
        <v>39</v>
      </c>
      <c r="G515" s="3">
        <v>677418</v>
      </c>
      <c r="H515" s="3">
        <v>506796</v>
      </c>
      <c r="I515" s="2" t="s">
        <v>11</v>
      </c>
      <c r="J515" s="3">
        <f t="shared" ref="J515:J578" si="8">H515/12</f>
        <v>42233</v>
      </c>
    </row>
    <row r="516" spans="1:10" x14ac:dyDescent="0.35">
      <c r="A516" s="2" t="s">
        <v>13</v>
      </c>
      <c r="B516" s="2" t="s">
        <v>15</v>
      </c>
      <c r="C516" s="2" t="s">
        <v>19</v>
      </c>
      <c r="D516" s="2" t="s">
        <v>25</v>
      </c>
      <c r="E516" s="2" t="s">
        <v>32</v>
      </c>
      <c r="F516" s="2" t="s">
        <v>39</v>
      </c>
      <c r="G516" s="3">
        <v>693799</v>
      </c>
      <c r="H516" s="3">
        <v>525134</v>
      </c>
      <c r="I516" s="2" t="s">
        <v>9</v>
      </c>
      <c r="J516" s="3">
        <f t="shared" si="8"/>
        <v>43761.166666666664</v>
      </c>
    </row>
    <row r="517" spans="1:10" x14ac:dyDescent="0.35">
      <c r="A517" s="2" t="s">
        <v>14</v>
      </c>
      <c r="B517" s="2" t="s">
        <v>16</v>
      </c>
      <c r="C517" s="2" t="s">
        <v>19</v>
      </c>
      <c r="D517" s="2" t="s">
        <v>26</v>
      </c>
      <c r="E517" s="2" t="s">
        <v>31</v>
      </c>
      <c r="F517" s="2" t="s">
        <v>37</v>
      </c>
      <c r="G517" s="3">
        <v>5345140</v>
      </c>
      <c r="H517" s="3">
        <v>4000115</v>
      </c>
      <c r="I517" s="2" t="s">
        <v>40</v>
      </c>
      <c r="J517" s="3">
        <f t="shared" si="8"/>
        <v>333342.91666666669</v>
      </c>
    </row>
    <row r="518" spans="1:10" x14ac:dyDescent="0.35">
      <c r="A518" s="2" t="s">
        <v>12</v>
      </c>
      <c r="B518" s="2" t="s">
        <v>17</v>
      </c>
      <c r="C518" s="2" t="s">
        <v>19</v>
      </c>
      <c r="D518" s="2" t="s">
        <v>28</v>
      </c>
      <c r="E518" s="2" t="s">
        <v>33</v>
      </c>
      <c r="F518" s="2" t="s">
        <v>38</v>
      </c>
      <c r="G518" s="3">
        <v>1873468</v>
      </c>
      <c r="H518" s="3">
        <v>1513452</v>
      </c>
      <c r="I518" s="2" t="s">
        <v>11</v>
      </c>
      <c r="J518" s="3">
        <f t="shared" si="8"/>
        <v>126121</v>
      </c>
    </row>
    <row r="519" spans="1:10" x14ac:dyDescent="0.35">
      <c r="A519" s="2" t="s">
        <v>10</v>
      </c>
      <c r="B519" s="2" t="s">
        <v>17</v>
      </c>
      <c r="C519" s="2" t="s">
        <v>18</v>
      </c>
      <c r="D519" s="2" t="s">
        <v>25</v>
      </c>
      <c r="E519" s="2" t="s">
        <v>34</v>
      </c>
      <c r="F519" s="2" t="s">
        <v>36</v>
      </c>
      <c r="G519" s="3">
        <v>2684871</v>
      </c>
      <c r="H519" s="3">
        <v>1978606</v>
      </c>
      <c r="I519" s="2" t="s">
        <v>40</v>
      </c>
      <c r="J519" s="3">
        <f t="shared" si="8"/>
        <v>164883.83333333334</v>
      </c>
    </row>
    <row r="520" spans="1:10" x14ac:dyDescent="0.35">
      <c r="A520" s="2" t="s">
        <v>11</v>
      </c>
      <c r="B520" s="2" t="s">
        <v>15</v>
      </c>
      <c r="C520" s="2" t="s">
        <v>18</v>
      </c>
      <c r="D520" s="2" t="s">
        <v>26</v>
      </c>
      <c r="E520" s="2" t="s">
        <v>33</v>
      </c>
      <c r="F520" s="2" t="s">
        <v>39</v>
      </c>
      <c r="G520" s="3">
        <v>1077411</v>
      </c>
      <c r="H520" s="3">
        <v>762120</v>
      </c>
      <c r="I520" s="2" t="s">
        <v>11</v>
      </c>
      <c r="J520" s="3">
        <f t="shared" si="8"/>
        <v>63510</v>
      </c>
    </row>
    <row r="521" spans="1:10" x14ac:dyDescent="0.35">
      <c r="A521" s="2" t="s">
        <v>9</v>
      </c>
      <c r="B521" s="2" t="s">
        <v>17</v>
      </c>
      <c r="C521" s="2" t="s">
        <v>19</v>
      </c>
      <c r="D521" s="2" t="s">
        <v>24</v>
      </c>
      <c r="E521" s="2" t="s">
        <v>35</v>
      </c>
      <c r="F521" s="2" t="s">
        <v>36</v>
      </c>
      <c r="G521" s="3">
        <v>1247556</v>
      </c>
      <c r="H521" s="3">
        <v>904934</v>
      </c>
      <c r="I521" s="2" t="s">
        <v>9</v>
      </c>
      <c r="J521" s="3">
        <f t="shared" si="8"/>
        <v>75411.166666666672</v>
      </c>
    </row>
    <row r="522" spans="1:10" x14ac:dyDescent="0.35">
      <c r="A522" s="2" t="s">
        <v>14</v>
      </c>
      <c r="B522" s="2" t="s">
        <v>15</v>
      </c>
      <c r="C522" s="2" t="s">
        <v>18</v>
      </c>
      <c r="D522" s="2" t="s">
        <v>28</v>
      </c>
      <c r="E522" s="2" t="s">
        <v>33</v>
      </c>
      <c r="F522" s="2" t="s">
        <v>37</v>
      </c>
      <c r="G522" s="3">
        <v>884031</v>
      </c>
      <c r="H522" s="3">
        <v>698178</v>
      </c>
      <c r="I522" s="2" t="s">
        <v>40</v>
      </c>
      <c r="J522" s="3">
        <f t="shared" si="8"/>
        <v>58181.5</v>
      </c>
    </row>
    <row r="523" spans="1:10" x14ac:dyDescent="0.35">
      <c r="A523" s="2" t="s">
        <v>12</v>
      </c>
      <c r="B523" s="2" t="s">
        <v>17</v>
      </c>
      <c r="C523" s="2" t="s">
        <v>19</v>
      </c>
      <c r="D523" s="2" t="s">
        <v>21</v>
      </c>
      <c r="E523" s="2" t="s">
        <v>32</v>
      </c>
      <c r="F523" s="2" t="s">
        <v>36</v>
      </c>
      <c r="G523" s="3">
        <v>2253887</v>
      </c>
      <c r="H523" s="3">
        <v>1616524</v>
      </c>
      <c r="I523" s="2" t="s">
        <v>11</v>
      </c>
      <c r="J523" s="3">
        <f t="shared" si="8"/>
        <v>134710.33333333334</v>
      </c>
    </row>
    <row r="524" spans="1:10" x14ac:dyDescent="0.35">
      <c r="A524" s="2" t="s">
        <v>11</v>
      </c>
      <c r="B524" s="2" t="s">
        <v>16</v>
      </c>
      <c r="C524" s="2" t="s">
        <v>18</v>
      </c>
      <c r="D524" s="2" t="s">
        <v>21</v>
      </c>
      <c r="E524" s="2" t="s">
        <v>31</v>
      </c>
      <c r="F524" s="2" t="s">
        <v>36</v>
      </c>
      <c r="G524" s="3">
        <v>4487448</v>
      </c>
      <c r="H524" s="3">
        <v>3279379</v>
      </c>
      <c r="I524" s="2" t="s">
        <v>11</v>
      </c>
      <c r="J524" s="3">
        <f t="shared" si="8"/>
        <v>273281.58333333331</v>
      </c>
    </row>
    <row r="525" spans="1:10" x14ac:dyDescent="0.35">
      <c r="A525" s="2" t="s">
        <v>10</v>
      </c>
      <c r="B525" s="2" t="s">
        <v>16</v>
      </c>
      <c r="C525" s="2" t="s">
        <v>18</v>
      </c>
      <c r="D525" s="2" t="s">
        <v>22</v>
      </c>
      <c r="E525" s="2" t="s">
        <v>30</v>
      </c>
      <c r="F525" s="2" t="s">
        <v>39</v>
      </c>
      <c r="G525" s="3">
        <v>4121415</v>
      </c>
      <c r="H525" s="3">
        <v>3028030</v>
      </c>
      <c r="I525" s="2" t="s">
        <v>40</v>
      </c>
      <c r="J525" s="3">
        <f t="shared" si="8"/>
        <v>252335.83333333334</v>
      </c>
    </row>
    <row r="526" spans="1:10" x14ac:dyDescent="0.35">
      <c r="A526" s="2" t="s">
        <v>9</v>
      </c>
      <c r="B526" s="2" t="s">
        <v>17</v>
      </c>
      <c r="C526" s="2" t="s">
        <v>18</v>
      </c>
      <c r="D526" s="2" t="s">
        <v>25</v>
      </c>
      <c r="E526" s="2" t="s">
        <v>29</v>
      </c>
      <c r="F526" s="2" t="s">
        <v>36</v>
      </c>
      <c r="G526" s="3">
        <v>907747</v>
      </c>
      <c r="H526" s="3">
        <v>650041</v>
      </c>
      <c r="I526" s="2" t="s">
        <v>9</v>
      </c>
      <c r="J526" s="3">
        <f t="shared" si="8"/>
        <v>54170.083333333336</v>
      </c>
    </row>
    <row r="527" spans="1:10" x14ac:dyDescent="0.35">
      <c r="A527" s="2" t="s">
        <v>12</v>
      </c>
      <c r="B527" s="2" t="s">
        <v>17</v>
      </c>
      <c r="C527" s="2" t="s">
        <v>18</v>
      </c>
      <c r="D527" s="2" t="s">
        <v>20</v>
      </c>
      <c r="E527" s="2" t="s">
        <v>30</v>
      </c>
      <c r="F527" s="2" t="s">
        <v>39</v>
      </c>
      <c r="G527" s="3">
        <v>1783282</v>
      </c>
      <c r="H527" s="3">
        <v>1439684</v>
      </c>
      <c r="I527" s="2" t="s">
        <v>11</v>
      </c>
      <c r="J527" s="3">
        <f t="shared" si="8"/>
        <v>119973.66666666667</v>
      </c>
    </row>
    <row r="528" spans="1:10" x14ac:dyDescent="0.35">
      <c r="A528" s="2" t="s">
        <v>9</v>
      </c>
      <c r="B528" s="2" t="s">
        <v>15</v>
      </c>
      <c r="C528" s="2" t="s">
        <v>18</v>
      </c>
      <c r="D528" s="2" t="s">
        <v>25</v>
      </c>
      <c r="E528" s="2" t="s">
        <v>32</v>
      </c>
      <c r="F528" s="2" t="s">
        <v>38</v>
      </c>
      <c r="G528" s="3">
        <v>486367</v>
      </c>
      <c r="H528" s="3">
        <v>380217</v>
      </c>
      <c r="I528" s="2" t="s">
        <v>9</v>
      </c>
      <c r="J528" s="3">
        <f t="shared" si="8"/>
        <v>31684.75</v>
      </c>
    </row>
    <row r="529" spans="1:10" x14ac:dyDescent="0.35">
      <c r="A529" s="2" t="s">
        <v>13</v>
      </c>
      <c r="B529" s="2" t="s">
        <v>16</v>
      </c>
      <c r="C529" s="2" t="s">
        <v>19</v>
      </c>
      <c r="D529" s="2" t="s">
        <v>21</v>
      </c>
      <c r="E529" s="2" t="s">
        <v>35</v>
      </c>
      <c r="F529" s="2" t="s">
        <v>36</v>
      </c>
      <c r="G529" s="3">
        <v>4848211</v>
      </c>
      <c r="H529" s="3">
        <v>3949873</v>
      </c>
      <c r="I529" s="2" t="s">
        <v>9</v>
      </c>
      <c r="J529" s="3">
        <f t="shared" si="8"/>
        <v>329156.08333333331</v>
      </c>
    </row>
    <row r="530" spans="1:10" x14ac:dyDescent="0.35">
      <c r="A530" s="2" t="s">
        <v>11</v>
      </c>
      <c r="B530" s="2" t="s">
        <v>15</v>
      </c>
      <c r="C530" s="2" t="s">
        <v>18</v>
      </c>
      <c r="D530" s="2" t="s">
        <v>23</v>
      </c>
      <c r="E530" s="2" t="s">
        <v>29</v>
      </c>
      <c r="F530" s="2" t="s">
        <v>36</v>
      </c>
      <c r="G530" s="3">
        <v>956006</v>
      </c>
      <c r="H530" s="3">
        <v>678873</v>
      </c>
      <c r="I530" s="2" t="s">
        <v>11</v>
      </c>
      <c r="J530" s="3">
        <f t="shared" si="8"/>
        <v>56572.75</v>
      </c>
    </row>
    <row r="531" spans="1:10" x14ac:dyDescent="0.35">
      <c r="A531" s="2" t="s">
        <v>13</v>
      </c>
      <c r="B531" s="2" t="s">
        <v>15</v>
      </c>
      <c r="C531" s="2" t="s">
        <v>18</v>
      </c>
      <c r="D531" s="2" t="s">
        <v>27</v>
      </c>
      <c r="E531" s="2" t="s">
        <v>32</v>
      </c>
      <c r="F531" s="2" t="s">
        <v>36</v>
      </c>
      <c r="G531" s="3">
        <v>964103</v>
      </c>
      <c r="H531" s="3">
        <v>760086</v>
      </c>
      <c r="I531" s="2" t="s">
        <v>9</v>
      </c>
      <c r="J531" s="3">
        <f t="shared" si="8"/>
        <v>63340.5</v>
      </c>
    </row>
    <row r="532" spans="1:10" x14ac:dyDescent="0.35">
      <c r="A532" s="2" t="s">
        <v>12</v>
      </c>
      <c r="B532" s="2" t="s">
        <v>16</v>
      </c>
      <c r="C532" s="2" t="s">
        <v>18</v>
      </c>
      <c r="D532" s="2" t="s">
        <v>21</v>
      </c>
      <c r="E532" s="2" t="s">
        <v>35</v>
      </c>
      <c r="F532" s="2" t="s">
        <v>39</v>
      </c>
      <c r="G532" s="3">
        <v>3019532</v>
      </c>
      <c r="H532" s="3">
        <v>2401786</v>
      </c>
      <c r="I532" s="2" t="s">
        <v>11</v>
      </c>
      <c r="J532" s="3">
        <f t="shared" si="8"/>
        <v>200148.83333333334</v>
      </c>
    </row>
    <row r="533" spans="1:10" x14ac:dyDescent="0.35">
      <c r="A533" s="2" t="s">
        <v>14</v>
      </c>
      <c r="B533" s="2" t="s">
        <v>17</v>
      </c>
      <c r="C533" s="2" t="s">
        <v>19</v>
      </c>
      <c r="D533" s="2" t="s">
        <v>26</v>
      </c>
      <c r="E533" s="2" t="s">
        <v>35</v>
      </c>
      <c r="F533" s="2" t="s">
        <v>36</v>
      </c>
      <c r="G533" s="3">
        <v>2433444</v>
      </c>
      <c r="H533" s="3">
        <v>1740136</v>
      </c>
      <c r="I533" s="2" t="s">
        <v>40</v>
      </c>
      <c r="J533" s="3">
        <f t="shared" si="8"/>
        <v>145011.33333333334</v>
      </c>
    </row>
    <row r="534" spans="1:10" x14ac:dyDescent="0.35">
      <c r="A534" s="2" t="s">
        <v>10</v>
      </c>
      <c r="B534" s="2" t="s">
        <v>16</v>
      </c>
      <c r="C534" s="2" t="s">
        <v>18</v>
      </c>
      <c r="D534" s="2" t="s">
        <v>21</v>
      </c>
      <c r="E534" s="2" t="s">
        <v>29</v>
      </c>
      <c r="F534" s="2" t="s">
        <v>38</v>
      </c>
      <c r="G534" s="3">
        <v>3996321</v>
      </c>
      <c r="H534" s="3">
        <v>3064740</v>
      </c>
      <c r="I534" s="2" t="s">
        <v>40</v>
      </c>
      <c r="J534" s="3">
        <f t="shared" si="8"/>
        <v>255395</v>
      </c>
    </row>
    <row r="535" spans="1:10" x14ac:dyDescent="0.35">
      <c r="A535" s="2" t="s">
        <v>10</v>
      </c>
      <c r="B535" s="2" t="s">
        <v>17</v>
      </c>
      <c r="C535" s="2" t="s">
        <v>18</v>
      </c>
      <c r="D535" s="2" t="s">
        <v>28</v>
      </c>
      <c r="E535" s="2" t="s">
        <v>34</v>
      </c>
      <c r="F535" s="2" t="s">
        <v>37</v>
      </c>
      <c r="G535" s="3">
        <v>2227394</v>
      </c>
      <c r="H535" s="3">
        <v>1748832</v>
      </c>
      <c r="I535" s="2" t="s">
        <v>40</v>
      </c>
      <c r="J535" s="3">
        <f t="shared" si="8"/>
        <v>145736</v>
      </c>
    </row>
    <row r="536" spans="1:10" x14ac:dyDescent="0.35">
      <c r="A536" s="2" t="s">
        <v>9</v>
      </c>
      <c r="B536" s="2" t="s">
        <v>15</v>
      </c>
      <c r="C536" s="2" t="s">
        <v>19</v>
      </c>
      <c r="D536" s="2" t="s">
        <v>26</v>
      </c>
      <c r="E536" s="2" t="s">
        <v>35</v>
      </c>
      <c r="F536" s="2" t="s">
        <v>36</v>
      </c>
      <c r="G536" s="3">
        <v>733383</v>
      </c>
      <c r="H536" s="3">
        <v>533804</v>
      </c>
      <c r="I536" s="2" t="s">
        <v>9</v>
      </c>
      <c r="J536" s="3">
        <f t="shared" si="8"/>
        <v>44483.666666666664</v>
      </c>
    </row>
    <row r="537" spans="1:10" x14ac:dyDescent="0.35">
      <c r="A537" s="2" t="s">
        <v>14</v>
      </c>
      <c r="B537" s="2" t="s">
        <v>15</v>
      </c>
      <c r="C537" s="2" t="s">
        <v>19</v>
      </c>
      <c r="D537" s="2" t="s">
        <v>26</v>
      </c>
      <c r="E537" s="2" t="s">
        <v>32</v>
      </c>
      <c r="F537" s="2" t="s">
        <v>38</v>
      </c>
      <c r="G537" s="3">
        <v>675724</v>
      </c>
      <c r="H537" s="3">
        <v>514468</v>
      </c>
      <c r="I537" s="2" t="s">
        <v>40</v>
      </c>
      <c r="J537" s="3">
        <f t="shared" si="8"/>
        <v>42872.333333333336</v>
      </c>
    </row>
    <row r="538" spans="1:10" x14ac:dyDescent="0.35">
      <c r="A538" s="2" t="s">
        <v>10</v>
      </c>
      <c r="B538" s="2" t="s">
        <v>16</v>
      </c>
      <c r="C538" s="2" t="s">
        <v>18</v>
      </c>
      <c r="D538" s="2" t="s">
        <v>21</v>
      </c>
      <c r="E538" s="2" t="s">
        <v>35</v>
      </c>
      <c r="F538" s="2" t="s">
        <v>39</v>
      </c>
      <c r="G538" s="3">
        <v>4346134</v>
      </c>
      <c r="H538" s="3">
        <v>3218576</v>
      </c>
      <c r="I538" s="2" t="s">
        <v>40</v>
      </c>
      <c r="J538" s="3">
        <f t="shared" si="8"/>
        <v>268214.66666666669</v>
      </c>
    </row>
    <row r="539" spans="1:10" x14ac:dyDescent="0.35">
      <c r="A539" s="2" t="s">
        <v>14</v>
      </c>
      <c r="B539" s="2" t="s">
        <v>16</v>
      </c>
      <c r="C539" s="2" t="s">
        <v>18</v>
      </c>
      <c r="D539" s="2" t="s">
        <v>23</v>
      </c>
      <c r="E539" s="2" t="s">
        <v>32</v>
      </c>
      <c r="F539" s="2" t="s">
        <v>38</v>
      </c>
      <c r="G539" s="3">
        <v>4201520</v>
      </c>
      <c r="H539" s="3">
        <v>2989194</v>
      </c>
      <c r="I539" s="2" t="s">
        <v>40</v>
      </c>
      <c r="J539" s="3">
        <f t="shared" si="8"/>
        <v>249099.5</v>
      </c>
    </row>
    <row r="540" spans="1:10" x14ac:dyDescent="0.35">
      <c r="A540" s="2" t="s">
        <v>14</v>
      </c>
      <c r="B540" s="2" t="s">
        <v>15</v>
      </c>
      <c r="C540" s="2" t="s">
        <v>18</v>
      </c>
      <c r="D540" s="2" t="s">
        <v>20</v>
      </c>
      <c r="E540" s="2" t="s">
        <v>32</v>
      </c>
      <c r="F540" s="2" t="s">
        <v>38</v>
      </c>
      <c r="G540" s="3">
        <v>1486260</v>
      </c>
      <c r="H540" s="3">
        <v>1123923</v>
      </c>
      <c r="I540" s="2" t="s">
        <v>40</v>
      </c>
      <c r="J540" s="3">
        <f t="shared" si="8"/>
        <v>93660.25</v>
      </c>
    </row>
    <row r="541" spans="1:10" x14ac:dyDescent="0.35">
      <c r="A541" s="2" t="s">
        <v>9</v>
      </c>
      <c r="B541" s="2" t="s">
        <v>17</v>
      </c>
      <c r="C541" s="2" t="s">
        <v>18</v>
      </c>
      <c r="D541" s="2" t="s">
        <v>24</v>
      </c>
      <c r="E541" s="2" t="s">
        <v>30</v>
      </c>
      <c r="F541" s="2" t="s">
        <v>38</v>
      </c>
      <c r="G541" s="3">
        <v>1236779</v>
      </c>
      <c r="H541" s="3">
        <v>931743</v>
      </c>
      <c r="I541" s="2" t="s">
        <v>9</v>
      </c>
      <c r="J541" s="3">
        <f t="shared" si="8"/>
        <v>77645.25</v>
      </c>
    </row>
    <row r="542" spans="1:10" x14ac:dyDescent="0.35">
      <c r="A542" s="2" t="s">
        <v>12</v>
      </c>
      <c r="B542" s="2" t="s">
        <v>17</v>
      </c>
      <c r="C542" s="2" t="s">
        <v>19</v>
      </c>
      <c r="D542" s="2" t="s">
        <v>20</v>
      </c>
      <c r="E542" s="2" t="s">
        <v>32</v>
      </c>
      <c r="F542" s="2" t="s">
        <v>36</v>
      </c>
      <c r="G542" s="3">
        <v>1356237</v>
      </c>
      <c r="H542" s="3">
        <v>1039215</v>
      </c>
      <c r="I542" s="2" t="s">
        <v>11</v>
      </c>
      <c r="J542" s="3">
        <f t="shared" si="8"/>
        <v>86601.25</v>
      </c>
    </row>
    <row r="543" spans="1:10" x14ac:dyDescent="0.35">
      <c r="A543" s="2" t="s">
        <v>14</v>
      </c>
      <c r="B543" s="2" t="s">
        <v>15</v>
      </c>
      <c r="C543" s="2" t="s">
        <v>18</v>
      </c>
      <c r="D543" s="2" t="s">
        <v>22</v>
      </c>
      <c r="E543" s="2" t="s">
        <v>35</v>
      </c>
      <c r="F543" s="2" t="s">
        <v>39</v>
      </c>
      <c r="G543" s="3">
        <v>1451772</v>
      </c>
      <c r="H543" s="3">
        <v>1161878</v>
      </c>
      <c r="I543" s="2" t="s">
        <v>40</v>
      </c>
      <c r="J543" s="3">
        <f t="shared" si="8"/>
        <v>96823.166666666672</v>
      </c>
    </row>
    <row r="544" spans="1:10" x14ac:dyDescent="0.35">
      <c r="A544" s="2" t="s">
        <v>13</v>
      </c>
      <c r="B544" s="2" t="s">
        <v>17</v>
      </c>
      <c r="C544" s="2" t="s">
        <v>19</v>
      </c>
      <c r="D544" s="2" t="s">
        <v>22</v>
      </c>
      <c r="E544" s="2" t="s">
        <v>32</v>
      </c>
      <c r="F544" s="2" t="s">
        <v>39</v>
      </c>
      <c r="G544" s="3">
        <v>2284927</v>
      </c>
      <c r="H544" s="3">
        <v>1818640</v>
      </c>
      <c r="I544" s="2" t="s">
        <v>9</v>
      </c>
      <c r="J544" s="3">
        <f t="shared" si="8"/>
        <v>151553.33333333334</v>
      </c>
    </row>
    <row r="545" spans="1:10" x14ac:dyDescent="0.35">
      <c r="A545" s="2" t="s">
        <v>14</v>
      </c>
      <c r="B545" s="2" t="s">
        <v>15</v>
      </c>
      <c r="C545" s="2" t="s">
        <v>19</v>
      </c>
      <c r="D545" s="2" t="s">
        <v>27</v>
      </c>
      <c r="E545" s="2" t="s">
        <v>29</v>
      </c>
      <c r="F545" s="2" t="s">
        <v>39</v>
      </c>
      <c r="G545" s="3">
        <v>626680</v>
      </c>
      <c r="H545" s="3">
        <v>463245</v>
      </c>
      <c r="I545" s="2" t="s">
        <v>40</v>
      </c>
      <c r="J545" s="3">
        <f t="shared" si="8"/>
        <v>38603.75</v>
      </c>
    </row>
    <row r="546" spans="1:10" x14ac:dyDescent="0.35">
      <c r="A546" s="2" t="s">
        <v>10</v>
      </c>
      <c r="B546" s="2" t="s">
        <v>15</v>
      </c>
      <c r="C546" s="2" t="s">
        <v>19</v>
      </c>
      <c r="D546" s="2" t="s">
        <v>27</v>
      </c>
      <c r="E546" s="2" t="s">
        <v>30</v>
      </c>
      <c r="F546" s="2" t="s">
        <v>39</v>
      </c>
      <c r="G546" s="3">
        <v>1463037</v>
      </c>
      <c r="H546" s="3">
        <v>1140186</v>
      </c>
      <c r="I546" s="2" t="s">
        <v>40</v>
      </c>
      <c r="J546" s="3">
        <f t="shared" si="8"/>
        <v>95015.5</v>
      </c>
    </row>
    <row r="547" spans="1:10" x14ac:dyDescent="0.35">
      <c r="A547" s="2" t="s">
        <v>13</v>
      </c>
      <c r="B547" s="2" t="s">
        <v>15</v>
      </c>
      <c r="C547" s="2" t="s">
        <v>18</v>
      </c>
      <c r="D547" s="2" t="s">
        <v>20</v>
      </c>
      <c r="E547" s="2" t="s">
        <v>34</v>
      </c>
      <c r="F547" s="2" t="s">
        <v>39</v>
      </c>
      <c r="G547" s="3">
        <v>877625</v>
      </c>
      <c r="H547" s="3">
        <v>703740</v>
      </c>
      <c r="I547" s="2" t="s">
        <v>9</v>
      </c>
      <c r="J547" s="3">
        <f t="shared" si="8"/>
        <v>58645</v>
      </c>
    </row>
    <row r="548" spans="1:10" x14ac:dyDescent="0.35">
      <c r="A548" s="2" t="s">
        <v>12</v>
      </c>
      <c r="B548" s="2" t="s">
        <v>16</v>
      </c>
      <c r="C548" s="2" t="s">
        <v>18</v>
      </c>
      <c r="D548" s="2" t="s">
        <v>21</v>
      </c>
      <c r="E548" s="2" t="s">
        <v>29</v>
      </c>
      <c r="F548" s="2" t="s">
        <v>39</v>
      </c>
      <c r="G548" s="3">
        <v>4773985</v>
      </c>
      <c r="H548" s="3">
        <v>3877867</v>
      </c>
      <c r="I548" s="2" t="s">
        <v>11</v>
      </c>
      <c r="J548" s="3">
        <f t="shared" si="8"/>
        <v>323155.58333333331</v>
      </c>
    </row>
    <row r="549" spans="1:10" x14ac:dyDescent="0.35">
      <c r="A549" s="2" t="s">
        <v>13</v>
      </c>
      <c r="B549" s="2" t="s">
        <v>16</v>
      </c>
      <c r="C549" s="2" t="s">
        <v>19</v>
      </c>
      <c r="D549" s="2" t="s">
        <v>21</v>
      </c>
      <c r="E549" s="2" t="s">
        <v>34</v>
      </c>
      <c r="F549" s="2" t="s">
        <v>39</v>
      </c>
      <c r="G549" s="3">
        <v>3105733</v>
      </c>
      <c r="H549" s="3">
        <v>2482896</v>
      </c>
      <c r="I549" s="2" t="s">
        <v>9</v>
      </c>
      <c r="J549" s="3">
        <f t="shared" si="8"/>
        <v>206908</v>
      </c>
    </row>
    <row r="550" spans="1:10" x14ac:dyDescent="0.35">
      <c r="A550" s="2" t="s">
        <v>12</v>
      </c>
      <c r="B550" s="2" t="s">
        <v>17</v>
      </c>
      <c r="C550" s="2" t="s">
        <v>19</v>
      </c>
      <c r="D550" s="2" t="s">
        <v>24</v>
      </c>
      <c r="E550" s="2" t="s">
        <v>35</v>
      </c>
      <c r="F550" s="2" t="s">
        <v>39</v>
      </c>
      <c r="G550" s="3">
        <v>1405501</v>
      </c>
      <c r="H550" s="3">
        <v>1130497</v>
      </c>
      <c r="I550" s="2" t="s">
        <v>11</v>
      </c>
      <c r="J550" s="3">
        <f t="shared" si="8"/>
        <v>94208.083333333328</v>
      </c>
    </row>
    <row r="551" spans="1:10" x14ac:dyDescent="0.35">
      <c r="A551" s="2" t="s">
        <v>9</v>
      </c>
      <c r="B551" s="2" t="s">
        <v>15</v>
      </c>
      <c r="C551" s="2" t="s">
        <v>18</v>
      </c>
      <c r="D551" s="2" t="s">
        <v>23</v>
      </c>
      <c r="E551" s="2" t="s">
        <v>35</v>
      </c>
      <c r="F551" s="2" t="s">
        <v>36</v>
      </c>
      <c r="G551" s="3">
        <v>417495</v>
      </c>
      <c r="H551" s="3">
        <v>316814</v>
      </c>
      <c r="I551" s="2" t="s">
        <v>9</v>
      </c>
      <c r="J551" s="3">
        <f t="shared" si="8"/>
        <v>26401.166666666668</v>
      </c>
    </row>
    <row r="552" spans="1:10" x14ac:dyDescent="0.35">
      <c r="A552" s="2" t="s">
        <v>9</v>
      </c>
      <c r="B552" s="2" t="s">
        <v>17</v>
      </c>
      <c r="C552" s="2" t="s">
        <v>19</v>
      </c>
      <c r="D552" s="2" t="s">
        <v>23</v>
      </c>
      <c r="E552" s="2" t="s">
        <v>30</v>
      </c>
      <c r="F552" s="2" t="s">
        <v>38</v>
      </c>
      <c r="G552" s="3">
        <v>1413139</v>
      </c>
      <c r="H552" s="3">
        <v>1011357</v>
      </c>
      <c r="I552" s="2" t="s">
        <v>9</v>
      </c>
      <c r="J552" s="3">
        <f t="shared" si="8"/>
        <v>84279.75</v>
      </c>
    </row>
    <row r="553" spans="1:10" x14ac:dyDescent="0.35">
      <c r="A553" s="2" t="s">
        <v>11</v>
      </c>
      <c r="B553" s="2" t="s">
        <v>17</v>
      </c>
      <c r="C553" s="2" t="s">
        <v>19</v>
      </c>
      <c r="D553" s="2" t="s">
        <v>26</v>
      </c>
      <c r="E553" s="2" t="s">
        <v>35</v>
      </c>
      <c r="F553" s="2" t="s">
        <v>36</v>
      </c>
      <c r="G553" s="3">
        <v>2408896</v>
      </c>
      <c r="H553" s="3">
        <v>1843620</v>
      </c>
      <c r="I553" s="2" t="s">
        <v>11</v>
      </c>
      <c r="J553" s="3">
        <f t="shared" si="8"/>
        <v>153635</v>
      </c>
    </row>
    <row r="554" spans="1:10" x14ac:dyDescent="0.35">
      <c r="A554" s="2" t="s">
        <v>14</v>
      </c>
      <c r="B554" s="2" t="s">
        <v>17</v>
      </c>
      <c r="C554" s="2" t="s">
        <v>18</v>
      </c>
      <c r="D554" s="2" t="s">
        <v>20</v>
      </c>
      <c r="E554" s="2" t="s">
        <v>31</v>
      </c>
      <c r="F554" s="2" t="s">
        <v>37</v>
      </c>
      <c r="G554" s="3">
        <v>2360711</v>
      </c>
      <c r="H554" s="3">
        <v>1853266</v>
      </c>
      <c r="I554" s="2" t="s">
        <v>40</v>
      </c>
      <c r="J554" s="3">
        <f t="shared" si="8"/>
        <v>154438.83333333334</v>
      </c>
    </row>
    <row r="555" spans="1:10" x14ac:dyDescent="0.35">
      <c r="A555" s="2" t="s">
        <v>10</v>
      </c>
      <c r="B555" s="2" t="s">
        <v>15</v>
      </c>
      <c r="C555" s="2" t="s">
        <v>18</v>
      </c>
      <c r="D555" s="2" t="s">
        <v>23</v>
      </c>
      <c r="E555" s="2" t="s">
        <v>29</v>
      </c>
      <c r="F555" s="2" t="s">
        <v>38</v>
      </c>
      <c r="G555" s="3">
        <v>967068</v>
      </c>
      <c r="H555" s="3">
        <v>733938</v>
      </c>
      <c r="I555" s="2" t="s">
        <v>40</v>
      </c>
      <c r="J555" s="3">
        <f t="shared" si="8"/>
        <v>61161.5</v>
      </c>
    </row>
    <row r="556" spans="1:10" x14ac:dyDescent="0.35">
      <c r="A556" s="2" t="s">
        <v>14</v>
      </c>
      <c r="B556" s="2" t="s">
        <v>15</v>
      </c>
      <c r="C556" s="2" t="s">
        <v>18</v>
      </c>
      <c r="D556" s="2" t="s">
        <v>20</v>
      </c>
      <c r="E556" s="2" t="s">
        <v>30</v>
      </c>
      <c r="F556" s="2" t="s">
        <v>36</v>
      </c>
      <c r="G556" s="3">
        <v>757851</v>
      </c>
      <c r="H556" s="3">
        <v>602850</v>
      </c>
      <c r="I556" s="2" t="s">
        <v>40</v>
      </c>
      <c r="J556" s="3">
        <f t="shared" si="8"/>
        <v>50237.5</v>
      </c>
    </row>
    <row r="557" spans="1:10" x14ac:dyDescent="0.35">
      <c r="A557" s="2" t="s">
        <v>14</v>
      </c>
      <c r="B557" s="2" t="s">
        <v>16</v>
      </c>
      <c r="C557" s="2" t="s">
        <v>18</v>
      </c>
      <c r="D557" s="2" t="s">
        <v>23</v>
      </c>
      <c r="E557" s="2" t="s">
        <v>34</v>
      </c>
      <c r="F557" s="2" t="s">
        <v>39</v>
      </c>
      <c r="G557" s="3">
        <v>5355466</v>
      </c>
      <c r="H557" s="3">
        <v>3787891</v>
      </c>
      <c r="I557" s="2" t="s">
        <v>40</v>
      </c>
      <c r="J557" s="3">
        <f t="shared" si="8"/>
        <v>315657.58333333331</v>
      </c>
    </row>
    <row r="558" spans="1:10" x14ac:dyDescent="0.35">
      <c r="A558" s="2" t="s">
        <v>10</v>
      </c>
      <c r="B558" s="2" t="s">
        <v>17</v>
      </c>
      <c r="C558" s="2" t="s">
        <v>18</v>
      </c>
      <c r="D558" s="2" t="s">
        <v>26</v>
      </c>
      <c r="E558" s="2" t="s">
        <v>30</v>
      </c>
      <c r="F558" s="2" t="s">
        <v>37</v>
      </c>
      <c r="G558" s="3">
        <v>2664834</v>
      </c>
      <c r="H558" s="3">
        <v>2077122</v>
      </c>
      <c r="I558" s="2" t="s">
        <v>40</v>
      </c>
      <c r="J558" s="3">
        <f t="shared" si="8"/>
        <v>173093.5</v>
      </c>
    </row>
    <row r="559" spans="1:10" x14ac:dyDescent="0.35">
      <c r="A559" s="2" t="s">
        <v>11</v>
      </c>
      <c r="B559" s="2" t="s">
        <v>16</v>
      </c>
      <c r="C559" s="2" t="s">
        <v>19</v>
      </c>
      <c r="D559" s="2" t="s">
        <v>23</v>
      </c>
      <c r="E559" s="2" t="s">
        <v>33</v>
      </c>
      <c r="F559" s="2" t="s">
        <v>39</v>
      </c>
      <c r="G559" s="3">
        <v>2792853</v>
      </c>
      <c r="H559" s="3">
        <v>2064765</v>
      </c>
      <c r="I559" s="2" t="s">
        <v>11</v>
      </c>
      <c r="J559" s="3">
        <f t="shared" si="8"/>
        <v>172063.75</v>
      </c>
    </row>
    <row r="560" spans="1:10" x14ac:dyDescent="0.35">
      <c r="A560" s="2" t="s">
        <v>14</v>
      </c>
      <c r="B560" s="2" t="s">
        <v>15</v>
      </c>
      <c r="C560" s="2" t="s">
        <v>18</v>
      </c>
      <c r="D560" s="2" t="s">
        <v>24</v>
      </c>
      <c r="E560" s="2" t="s">
        <v>34</v>
      </c>
      <c r="F560" s="2" t="s">
        <v>36</v>
      </c>
      <c r="G560" s="3">
        <v>764873</v>
      </c>
      <c r="H560" s="3">
        <v>619942</v>
      </c>
      <c r="I560" s="2" t="s">
        <v>40</v>
      </c>
      <c r="J560" s="3">
        <f t="shared" si="8"/>
        <v>51661.833333333336</v>
      </c>
    </row>
    <row r="561" spans="1:10" x14ac:dyDescent="0.35">
      <c r="A561" s="2" t="s">
        <v>11</v>
      </c>
      <c r="B561" s="2" t="s">
        <v>16</v>
      </c>
      <c r="C561" s="2" t="s">
        <v>18</v>
      </c>
      <c r="D561" s="2" t="s">
        <v>26</v>
      </c>
      <c r="E561" s="2" t="s">
        <v>31</v>
      </c>
      <c r="F561" s="2" t="s">
        <v>39</v>
      </c>
      <c r="G561" s="3">
        <v>4042839</v>
      </c>
      <c r="H561" s="3">
        <v>2869471</v>
      </c>
      <c r="I561" s="2" t="s">
        <v>11</v>
      </c>
      <c r="J561" s="3">
        <f t="shared" si="8"/>
        <v>239122.58333333334</v>
      </c>
    </row>
    <row r="562" spans="1:10" x14ac:dyDescent="0.35">
      <c r="A562" s="2" t="s">
        <v>14</v>
      </c>
      <c r="B562" s="2" t="s">
        <v>15</v>
      </c>
      <c r="C562" s="2" t="s">
        <v>18</v>
      </c>
      <c r="D562" s="2" t="s">
        <v>28</v>
      </c>
      <c r="E562" s="2" t="s">
        <v>33</v>
      </c>
      <c r="F562" s="2" t="s">
        <v>39</v>
      </c>
      <c r="G562" s="3">
        <v>1060481</v>
      </c>
      <c r="H562" s="3">
        <v>744468</v>
      </c>
      <c r="I562" s="2" t="s">
        <v>40</v>
      </c>
      <c r="J562" s="3">
        <f t="shared" si="8"/>
        <v>62039</v>
      </c>
    </row>
    <row r="563" spans="1:10" x14ac:dyDescent="0.35">
      <c r="A563" s="2" t="s">
        <v>14</v>
      </c>
      <c r="B563" s="2" t="s">
        <v>15</v>
      </c>
      <c r="C563" s="2" t="s">
        <v>19</v>
      </c>
      <c r="D563" s="2" t="s">
        <v>28</v>
      </c>
      <c r="E563" s="2" t="s">
        <v>35</v>
      </c>
      <c r="F563" s="2" t="s">
        <v>36</v>
      </c>
      <c r="G563" s="3">
        <v>1475793</v>
      </c>
      <c r="H563" s="3">
        <v>1091178</v>
      </c>
      <c r="I563" s="2" t="s">
        <v>40</v>
      </c>
      <c r="J563" s="3">
        <f t="shared" si="8"/>
        <v>90931.5</v>
      </c>
    </row>
    <row r="564" spans="1:10" x14ac:dyDescent="0.35">
      <c r="A564" s="2" t="s">
        <v>10</v>
      </c>
      <c r="B564" s="2" t="s">
        <v>15</v>
      </c>
      <c r="C564" s="2" t="s">
        <v>19</v>
      </c>
      <c r="D564" s="2" t="s">
        <v>23</v>
      </c>
      <c r="E564" s="2" t="s">
        <v>34</v>
      </c>
      <c r="F564" s="2" t="s">
        <v>37</v>
      </c>
      <c r="G564" s="3">
        <v>1316351</v>
      </c>
      <c r="H564" s="3">
        <v>961117</v>
      </c>
      <c r="I564" s="2" t="s">
        <v>40</v>
      </c>
      <c r="J564" s="3">
        <f t="shared" si="8"/>
        <v>80093.083333333328</v>
      </c>
    </row>
    <row r="565" spans="1:10" x14ac:dyDescent="0.35">
      <c r="A565" s="2" t="s">
        <v>12</v>
      </c>
      <c r="B565" s="2" t="s">
        <v>16</v>
      </c>
      <c r="C565" s="2" t="s">
        <v>19</v>
      </c>
      <c r="D565" s="2" t="s">
        <v>25</v>
      </c>
      <c r="E565" s="2" t="s">
        <v>29</v>
      </c>
      <c r="F565" s="2" t="s">
        <v>38</v>
      </c>
      <c r="G565" s="3">
        <v>4331821</v>
      </c>
      <c r="H565" s="3">
        <v>3453034</v>
      </c>
      <c r="I565" s="2" t="s">
        <v>11</v>
      </c>
      <c r="J565" s="3">
        <f t="shared" si="8"/>
        <v>287752.83333333331</v>
      </c>
    </row>
    <row r="566" spans="1:10" x14ac:dyDescent="0.35">
      <c r="A566" s="2" t="s">
        <v>13</v>
      </c>
      <c r="B566" s="2" t="s">
        <v>16</v>
      </c>
      <c r="C566" s="2" t="s">
        <v>18</v>
      </c>
      <c r="D566" s="2" t="s">
        <v>26</v>
      </c>
      <c r="E566" s="2" t="s">
        <v>31</v>
      </c>
      <c r="F566" s="2" t="s">
        <v>38</v>
      </c>
      <c r="G566" s="3">
        <v>3907569</v>
      </c>
      <c r="H566" s="3">
        <v>3016770</v>
      </c>
      <c r="I566" s="2" t="s">
        <v>9</v>
      </c>
      <c r="J566" s="3">
        <f t="shared" si="8"/>
        <v>251397.5</v>
      </c>
    </row>
    <row r="567" spans="1:10" x14ac:dyDescent="0.35">
      <c r="A567" s="2" t="s">
        <v>13</v>
      </c>
      <c r="B567" s="2" t="s">
        <v>17</v>
      </c>
      <c r="C567" s="2" t="s">
        <v>18</v>
      </c>
      <c r="D567" s="2" t="s">
        <v>25</v>
      </c>
      <c r="E567" s="2" t="s">
        <v>29</v>
      </c>
      <c r="F567" s="2" t="s">
        <v>38</v>
      </c>
      <c r="G567" s="3">
        <v>2227526</v>
      </c>
      <c r="H567" s="3">
        <v>1738167</v>
      </c>
      <c r="I567" s="2" t="s">
        <v>9</v>
      </c>
      <c r="J567" s="3">
        <f t="shared" si="8"/>
        <v>144847.25</v>
      </c>
    </row>
    <row r="568" spans="1:10" x14ac:dyDescent="0.35">
      <c r="A568" s="2" t="s">
        <v>9</v>
      </c>
      <c r="B568" s="2" t="s">
        <v>16</v>
      </c>
      <c r="C568" s="2" t="s">
        <v>19</v>
      </c>
      <c r="D568" s="2" t="s">
        <v>21</v>
      </c>
      <c r="E568" s="2" t="s">
        <v>29</v>
      </c>
      <c r="F568" s="2" t="s">
        <v>39</v>
      </c>
      <c r="G568" s="3">
        <v>3497403</v>
      </c>
      <c r="H568" s="3">
        <v>2666189</v>
      </c>
      <c r="I568" s="2" t="s">
        <v>9</v>
      </c>
      <c r="J568" s="3">
        <f t="shared" si="8"/>
        <v>222182.41666666666</v>
      </c>
    </row>
    <row r="569" spans="1:10" x14ac:dyDescent="0.35">
      <c r="A569" s="2" t="s">
        <v>10</v>
      </c>
      <c r="B569" s="2" t="s">
        <v>16</v>
      </c>
      <c r="C569" s="2" t="s">
        <v>19</v>
      </c>
      <c r="D569" s="2" t="s">
        <v>22</v>
      </c>
      <c r="E569" s="2" t="s">
        <v>32</v>
      </c>
      <c r="F569" s="2" t="s">
        <v>39</v>
      </c>
      <c r="G569" s="3">
        <v>3661978</v>
      </c>
      <c r="H569" s="3">
        <v>2843374</v>
      </c>
      <c r="I569" s="2" t="s">
        <v>40</v>
      </c>
      <c r="J569" s="3">
        <f t="shared" si="8"/>
        <v>236947.83333333334</v>
      </c>
    </row>
    <row r="570" spans="1:10" x14ac:dyDescent="0.35">
      <c r="A570" s="2" t="s">
        <v>14</v>
      </c>
      <c r="B570" s="2" t="s">
        <v>17</v>
      </c>
      <c r="C570" s="2" t="s">
        <v>19</v>
      </c>
      <c r="D570" s="2" t="s">
        <v>26</v>
      </c>
      <c r="E570" s="2" t="s">
        <v>29</v>
      </c>
      <c r="F570" s="2" t="s">
        <v>39</v>
      </c>
      <c r="G570" s="3">
        <v>2655435</v>
      </c>
      <c r="H570" s="3">
        <v>2082897</v>
      </c>
      <c r="I570" s="2" t="s">
        <v>40</v>
      </c>
      <c r="J570" s="3">
        <f t="shared" si="8"/>
        <v>173574.75</v>
      </c>
    </row>
    <row r="571" spans="1:10" x14ac:dyDescent="0.35">
      <c r="A571" s="2" t="s">
        <v>10</v>
      </c>
      <c r="B571" s="2" t="s">
        <v>16</v>
      </c>
      <c r="C571" s="2" t="s">
        <v>18</v>
      </c>
      <c r="D571" s="2" t="s">
        <v>21</v>
      </c>
      <c r="E571" s="2" t="s">
        <v>31</v>
      </c>
      <c r="F571" s="2" t="s">
        <v>39</v>
      </c>
      <c r="G571" s="3">
        <v>4988193</v>
      </c>
      <c r="H571" s="3">
        <v>3897196</v>
      </c>
      <c r="I571" s="2" t="s">
        <v>40</v>
      </c>
      <c r="J571" s="3">
        <f t="shared" si="8"/>
        <v>324766.33333333331</v>
      </c>
    </row>
    <row r="572" spans="1:10" x14ac:dyDescent="0.35">
      <c r="A572" s="2" t="s">
        <v>14</v>
      </c>
      <c r="B572" s="2" t="s">
        <v>16</v>
      </c>
      <c r="C572" s="2" t="s">
        <v>19</v>
      </c>
      <c r="D572" s="2" t="s">
        <v>25</v>
      </c>
      <c r="E572" s="2" t="s">
        <v>35</v>
      </c>
      <c r="F572" s="2" t="s">
        <v>36</v>
      </c>
      <c r="G572" s="3">
        <v>6482061</v>
      </c>
      <c r="H572" s="3">
        <v>4655169</v>
      </c>
      <c r="I572" s="2" t="s">
        <v>40</v>
      </c>
      <c r="J572" s="3">
        <f t="shared" si="8"/>
        <v>387930.75</v>
      </c>
    </row>
    <row r="573" spans="1:10" x14ac:dyDescent="0.35">
      <c r="A573" s="2" t="s">
        <v>14</v>
      </c>
      <c r="B573" s="2" t="s">
        <v>17</v>
      </c>
      <c r="C573" s="2" t="s">
        <v>18</v>
      </c>
      <c r="D573" s="2" t="s">
        <v>24</v>
      </c>
      <c r="E573" s="2" t="s">
        <v>31</v>
      </c>
      <c r="F573" s="2" t="s">
        <v>36</v>
      </c>
      <c r="G573" s="3">
        <v>1583464</v>
      </c>
      <c r="H573" s="3">
        <v>1167790</v>
      </c>
      <c r="I573" s="2" t="s">
        <v>40</v>
      </c>
      <c r="J573" s="3">
        <f t="shared" si="8"/>
        <v>97315.833333333328</v>
      </c>
    </row>
    <row r="574" spans="1:10" x14ac:dyDescent="0.35">
      <c r="A574" s="2" t="s">
        <v>9</v>
      </c>
      <c r="B574" s="2" t="s">
        <v>16</v>
      </c>
      <c r="C574" s="2" t="s">
        <v>18</v>
      </c>
      <c r="D574" s="2" t="s">
        <v>27</v>
      </c>
      <c r="E574" s="2" t="s">
        <v>35</v>
      </c>
      <c r="F574" s="2" t="s">
        <v>39</v>
      </c>
      <c r="G574" s="3">
        <v>3076837</v>
      </c>
      <c r="H574" s="3">
        <v>2412296</v>
      </c>
      <c r="I574" s="2" t="s">
        <v>9</v>
      </c>
      <c r="J574" s="3">
        <f t="shared" si="8"/>
        <v>201024.66666666666</v>
      </c>
    </row>
    <row r="575" spans="1:10" x14ac:dyDescent="0.35">
      <c r="A575" s="2" t="s">
        <v>13</v>
      </c>
      <c r="B575" s="2" t="s">
        <v>17</v>
      </c>
      <c r="C575" s="2" t="s">
        <v>18</v>
      </c>
      <c r="D575" s="2" t="s">
        <v>24</v>
      </c>
      <c r="E575" s="2" t="s">
        <v>29</v>
      </c>
      <c r="F575" s="2" t="s">
        <v>36</v>
      </c>
      <c r="G575" s="3">
        <v>2487171</v>
      </c>
      <c r="H575" s="3">
        <v>2011456</v>
      </c>
      <c r="I575" s="2" t="s">
        <v>9</v>
      </c>
      <c r="J575" s="3">
        <f t="shared" si="8"/>
        <v>167621.33333333334</v>
      </c>
    </row>
    <row r="576" spans="1:10" x14ac:dyDescent="0.35">
      <c r="A576" s="2" t="s">
        <v>10</v>
      </c>
      <c r="B576" s="2" t="s">
        <v>15</v>
      </c>
      <c r="C576" s="2" t="s">
        <v>18</v>
      </c>
      <c r="D576" s="2" t="s">
        <v>25</v>
      </c>
      <c r="E576" s="2" t="s">
        <v>35</v>
      </c>
      <c r="F576" s="2" t="s">
        <v>37</v>
      </c>
      <c r="G576" s="3">
        <v>755212</v>
      </c>
      <c r="H576" s="3">
        <v>601318</v>
      </c>
      <c r="I576" s="2" t="s">
        <v>40</v>
      </c>
      <c r="J576" s="3">
        <f t="shared" si="8"/>
        <v>50109.833333333336</v>
      </c>
    </row>
    <row r="577" spans="1:10" x14ac:dyDescent="0.35">
      <c r="A577" s="2" t="s">
        <v>14</v>
      </c>
      <c r="B577" s="2" t="s">
        <v>15</v>
      </c>
      <c r="C577" s="2" t="s">
        <v>18</v>
      </c>
      <c r="D577" s="2" t="s">
        <v>23</v>
      </c>
      <c r="E577" s="2" t="s">
        <v>33</v>
      </c>
      <c r="F577" s="2" t="s">
        <v>38</v>
      </c>
      <c r="G577" s="3">
        <v>1324674</v>
      </c>
      <c r="H577" s="3">
        <v>965392</v>
      </c>
      <c r="I577" s="2" t="s">
        <v>40</v>
      </c>
      <c r="J577" s="3">
        <f t="shared" si="8"/>
        <v>80449.333333333328</v>
      </c>
    </row>
    <row r="578" spans="1:10" x14ac:dyDescent="0.35">
      <c r="A578" s="2" t="s">
        <v>12</v>
      </c>
      <c r="B578" s="2" t="s">
        <v>16</v>
      </c>
      <c r="C578" s="2" t="s">
        <v>18</v>
      </c>
      <c r="D578" s="2" t="s">
        <v>24</v>
      </c>
      <c r="E578" s="2" t="s">
        <v>31</v>
      </c>
      <c r="F578" s="2" t="s">
        <v>38</v>
      </c>
      <c r="G578" s="3">
        <v>5274353</v>
      </c>
      <c r="H578" s="3">
        <v>3818976</v>
      </c>
      <c r="I578" s="2" t="s">
        <v>11</v>
      </c>
      <c r="J578" s="3">
        <f t="shared" si="8"/>
        <v>318248</v>
      </c>
    </row>
    <row r="579" spans="1:10" x14ac:dyDescent="0.35">
      <c r="A579" s="2" t="s">
        <v>14</v>
      </c>
      <c r="B579" s="2" t="s">
        <v>15</v>
      </c>
      <c r="C579" s="2" t="s">
        <v>18</v>
      </c>
      <c r="D579" s="2" t="s">
        <v>28</v>
      </c>
      <c r="E579" s="2" t="s">
        <v>29</v>
      </c>
      <c r="F579" s="2" t="s">
        <v>36</v>
      </c>
      <c r="G579" s="3">
        <v>1429146</v>
      </c>
      <c r="H579" s="3">
        <v>1047688</v>
      </c>
      <c r="I579" s="2" t="s">
        <v>40</v>
      </c>
      <c r="J579" s="3">
        <f t="shared" ref="J579:J642" si="9">H579/12</f>
        <v>87307.333333333328</v>
      </c>
    </row>
    <row r="580" spans="1:10" x14ac:dyDescent="0.35">
      <c r="A580" s="2" t="s">
        <v>12</v>
      </c>
      <c r="B580" s="2" t="s">
        <v>15</v>
      </c>
      <c r="C580" s="2" t="s">
        <v>18</v>
      </c>
      <c r="D580" s="2" t="s">
        <v>21</v>
      </c>
      <c r="E580" s="2" t="s">
        <v>32</v>
      </c>
      <c r="F580" s="2" t="s">
        <v>39</v>
      </c>
      <c r="G580" s="3">
        <v>913340</v>
      </c>
      <c r="H580" s="3">
        <v>694203</v>
      </c>
      <c r="I580" s="2" t="s">
        <v>11</v>
      </c>
      <c r="J580" s="3">
        <f t="shared" si="9"/>
        <v>57850.25</v>
      </c>
    </row>
    <row r="581" spans="1:10" x14ac:dyDescent="0.35">
      <c r="A581" s="2" t="s">
        <v>13</v>
      </c>
      <c r="B581" s="2" t="s">
        <v>16</v>
      </c>
      <c r="C581" s="2" t="s">
        <v>18</v>
      </c>
      <c r="D581" s="2" t="s">
        <v>22</v>
      </c>
      <c r="E581" s="2" t="s">
        <v>29</v>
      </c>
      <c r="F581" s="2" t="s">
        <v>36</v>
      </c>
      <c r="G581" s="3">
        <v>2739086</v>
      </c>
      <c r="H581" s="3">
        <v>2194713</v>
      </c>
      <c r="I581" s="2" t="s">
        <v>9</v>
      </c>
      <c r="J581" s="3">
        <f t="shared" si="9"/>
        <v>182892.75</v>
      </c>
    </row>
    <row r="582" spans="1:10" x14ac:dyDescent="0.35">
      <c r="A582" s="2" t="s">
        <v>10</v>
      </c>
      <c r="B582" s="2" t="s">
        <v>17</v>
      </c>
      <c r="C582" s="2" t="s">
        <v>18</v>
      </c>
      <c r="D582" s="2" t="s">
        <v>20</v>
      </c>
      <c r="E582" s="2" t="s">
        <v>34</v>
      </c>
      <c r="F582" s="2" t="s">
        <v>38</v>
      </c>
      <c r="G582" s="3">
        <v>2764350</v>
      </c>
      <c r="H582" s="3">
        <v>1973853</v>
      </c>
      <c r="I582" s="2" t="s">
        <v>40</v>
      </c>
      <c r="J582" s="3">
        <f t="shared" si="9"/>
        <v>164487.75</v>
      </c>
    </row>
    <row r="583" spans="1:10" x14ac:dyDescent="0.35">
      <c r="A583" s="2" t="s">
        <v>12</v>
      </c>
      <c r="B583" s="2" t="s">
        <v>15</v>
      </c>
      <c r="C583" s="2" t="s">
        <v>19</v>
      </c>
      <c r="D583" s="2" t="s">
        <v>22</v>
      </c>
      <c r="E583" s="2" t="s">
        <v>34</v>
      </c>
      <c r="F583" s="2" t="s">
        <v>37</v>
      </c>
      <c r="G583" s="3">
        <v>578166</v>
      </c>
      <c r="H583" s="3">
        <v>420763</v>
      </c>
      <c r="I583" s="2" t="s">
        <v>11</v>
      </c>
      <c r="J583" s="3">
        <f t="shared" si="9"/>
        <v>35063.583333333336</v>
      </c>
    </row>
    <row r="584" spans="1:10" x14ac:dyDescent="0.35">
      <c r="A584" s="2" t="s">
        <v>10</v>
      </c>
      <c r="B584" s="2" t="s">
        <v>15</v>
      </c>
      <c r="C584" s="2" t="s">
        <v>19</v>
      </c>
      <c r="D584" s="2" t="s">
        <v>28</v>
      </c>
      <c r="E584" s="2" t="s">
        <v>35</v>
      </c>
      <c r="F584" s="2" t="s">
        <v>39</v>
      </c>
      <c r="G584" s="3">
        <v>1125674</v>
      </c>
      <c r="H584" s="3">
        <v>804862</v>
      </c>
      <c r="I584" s="2" t="s">
        <v>40</v>
      </c>
      <c r="J584" s="3">
        <f t="shared" si="9"/>
        <v>67071.833333333328</v>
      </c>
    </row>
    <row r="585" spans="1:10" x14ac:dyDescent="0.35">
      <c r="A585" s="2" t="s">
        <v>9</v>
      </c>
      <c r="B585" s="2" t="s">
        <v>17</v>
      </c>
      <c r="C585" s="2" t="s">
        <v>19</v>
      </c>
      <c r="D585" s="2" t="s">
        <v>22</v>
      </c>
      <c r="E585" s="2" t="s">
        <v>31</v>
      </c>
      <c r="F585" s="2" t="s">
        <v>36</v>
      </c>
      <c r="G585" s="3">
        <v>905902</v>
      </c>
      <c r="H585" s="3">
        <v>639723</v>
      </c>
      <c r="I585" s="2" t="s">
        <v>9</v>
      </c>
      <c r="J585" s="3">
        <f t="shared" si="9"/>
        <v>53310.25</v>
      </c>
    </row>
    <row r="586" spans="1:10" x14ac:dyDescent="0.35">
      <c r="A586" s="2" t="s">
        <v>14</v>
      </c>
      <c r="B586" s="2" t="s">
        <v>15</v>
      </c>
      <c r="C586" s="2" t="s">
        <v>18</v>
      </c>
      <c r="D586" s="2" t="s">
        <v>28</v>
      </c>
      <c r="E586" s="2" t="s">
        <v>31</v>
      </c>
      <c r="F586" s="2" t="s">
        <v>36</v>
      </c>
      <c r="G586" s="3">
        <v>1267684</v>
      </c>
      <c r="H586" s="3">
        <v>909557</v>
      </c>
      <c r="I586" s="2" t="s">
        <v>40</v>
      </c>
      <c r="J586" s="3">
        <f t="shared" si="9"/>
        <v>75796.416666666672</v>
      </c>
    </row>
    <row r="587" spans="1:10" x14ac:dyDescent="0.35">
      <c r="A587" s="2" t="s">
        <v>9</v>
      </c>
      <c r="B587" s="2" t="s">
        <v>16</v>
      </c>
      <c r="C587" s="2" t="s">
        <v>18</v>
      </c>
      <c r="D587" s="2" t="s">
        <v>20</v>
      </c>
      <c r="E587" s="2" t="s">
        <v>31</v>
      </c>
      <c r="F587" s="2" t="s">
        <v>39</v>
      </c>
      <c r="G587" s="3">
        <v>2881169</v>
      </c>
      <c r="H587" s="3">
        <v>2266675</v>
      </c>
      <c r="I587" s="2" t="s">
        <v>9</v>
      </c>
      <c r="J587" s="3">
        <f t="shared" si="9"/>
        <v>188889.58333333334</v>
      </c>
    </row>
    <row r="588" spans="1:10" x14ac:dyDescent="0.35">
      <c r="A588" s="2" t="s">
        <v>14</v>
      </c>
      <c r="B588" s="2" t="s">
        <v>15</v>
      </c>
      <c r="C588" s="2" t="s">
        <v>18</v>
      </c>
      <c r="D588" s="2" t="s">
        <v>21</v>
      </c>
      <c r="E588" s="2" t="s">
        <v>34</v>
      </c>
      <c r="F588" s="2" t="s">
        <v>36</v>
      </c>
      <c r="G588" s="3">
        <v>1061086</v>
      </c>
      <c r="H588" s="3">
        <v>794677</v>
      </c>
      <c r="I588" s="2" t="s">
        <v>40</v>
      </c>
      <c r="J588" s="3">
        <f t="shared" si="9"/>
        <v>66223.083333333328</v>
      </c>
    </row>
    <row r="589" spans="1:10" x14ac:dyDescent="0.35">
      <c r="A589" s="2" t="s">
        <v>14</v>
      </c>
      <c r="B589" s="2" t="s">
        <v>15</v>
      </c>
      <c r="C589" s="2" t="s">
        <v>19</v>
      </c>
      <c r="D589" s="2" t="s">
        <v>28</v>
      </c>
      <c r="E589" s="2" t="s">
        <v>35</v>
      </c>
      <c r="F589" s="2" t="s">
        <v>39</v>
      </c>
      <c r="G589" s="3">
        <v>1489166</v>
      </c>
      <c r="H589" s="3">
        <v>1109620</v>
      </c>
      <c r="I589" s="2" t="s">
        <v>40</v>
      </c>
      <c r="J589" s="3">
        <f t="shared" si="9"/>
        <v>92468.333333333328</v>
      </c>
    </row>
    <row r="590" spans="1:10" x14ac:dyDescent="0.35">
      <c r="A590" s="2" t="s">
        <v>14</v>
      </c>
      <c r="B590" s="2" t="s">
        <v>15</v>
      </c>
      <c r="C590" s="2" t="s">
        <v>18</v>
      </c>
      <c r="D590" s="2" t="s">
        <v>20</v>
      </c>
      <c r="E590" s="2" t="s">
        <v>33</v>
      </c>
      <c r="F590" s="2" t="s">
        <v>39</v>
      </c>
      <c r="G590" s="3">
        <v>1207399</v>
      </c>
      <c r="H590" s="3">
        <v>927007</v>
      </c>
      <c r="I590" s="2" t="s">
        <v>40</v>
      </c>
      <c r="J590" s="3">
        <f t="shared" si="9"/>
        <v>77250.583333333328</v>
      </c>
    </row>
    <row r="591" spans="1:10" x14ac:dyDescent="0.35">
      <c r="A591" s="2" t="s">
        <v>9</v>
      </c>
      <c r="B591" s="2" t="s">
        <v>15</v>
      </c>
      <c r="C591" s="2" t="s">
        <v>19</v>
      </c>
      <c r="D591" s="2" t="s">
        <v>20</v>
      </c>
      <c r="E591" s="2" t="s">
        <v>31</v>
      </c>
      <c r="F591" s="2" t="s">
        <v>36</v>
      </c>
      <c r="G591" s="3">
        <v>343235</v>
      </c>
      <c r="H591" s="3">
        <v>245421</v>
      </c>
      <c r="I591" s="2" t="s">
        <v>9</v>
      </c>
      <c r="J591" s="3">
        <f t="shared" si="9"/>
        <v>20451.75</v>
      </c>
    </row>
    <row r="592" spans="1:10" x14ac:dyDescent="0.35">
      <c r="A592" s="2" t="s">
        <v>11</v>
      </c>
      <c r="B592" s="2" t="s">
        <v>15</v>
      </c>
      <c r="C592" s="2" t="s">
        <v>18</v>
      </c>
      <c r="D592" s="2" t="s">
        <v>22</v>
      </c>
      <c r="E592" s="2" t="s">
        <v>34</v>
      </c>
      <c r="F592" s="2" t="s">
        <v>39</v>
      </c>
      <c r="G592" s="3">
        <v>543677</v>
      </c>
      <c r="H592" s="3">
        <v>394189</v>
      </c>
      <c r="I592" s="2" t="s">
        <v>11</v>
      </c>
      <c r="J592" s="3">
        <f t="shared" si="9"/>
        <v>32849.083333333336</v>
      </c>
    </row>
    <row r="593" spans="1:10" x14ac:dyDescent="0.35">
      <c r="A593" s="2" t="s">
        <v>11</v>
      </c>
      <c r="B593" s="2" t="s">
        <v>16</v>
      </c>
      <c r="C593" s="2" t="s">
        <v>18</v>
      </c>
      <c r="D593" s="2" t="s">
        <v>22</v>
      </c>
      <c r="E593" s="2" t="s">
        <v>29</v>
      </c>
      <c r="F593" s="2" t="s">
        <v>36</v>
      </c>
      <c r="G593" s="3">
        <v>5454038</v>
      </c>
      <c r="H593" s="3">
        <v>4188591</v>
      </c>
      <c r="I593" s="2" t="s">
        <v>11</v>
      </c>
      <c r="J593" s="3">
        <f t="shared" si="9"/>
        <v>349049.25</v>
      </c>
    </row>
    <row r="594" spans="1:10" x14ac:dyDescent="0.35">
      <c r="A594" s="2" t="s">
        <v>9</v>
      </c>
      <c r="B594" s="2" t="s">
        <v>17</v>
      </c>
      <c r="C594" s="2" t="s">
        <v>19</v>
      </c>
      <c r="D594" s="2" t="s">
        <v>26</v>
      </c>
      <c r="E594" s="2" t="s">
        <v>32</v>
      </c>
      <c r="F594" s="2" t="s">
        <v>36</v>
      </c>
      <c r="G594" s="3">
        <v>1284408</v>
      </c>
      <c r="H594" s="3">
        <v>966109</v>
      </c>
      <c r="I594" s="2" t="s">
        <v>9</v>
      </c>
      <c r="J594" s="3">
        <f t="shared" si="9"/>
        <v>80509.083333333328</v>
      </c>
    </row>
    <row r="595" spans="1:10" x14ac:dyDescent="0.35">
      <c r="A595" s="2" t="s">
        <v>10</v>
      </c>
      <c r="B595" s="2" t="s">
        <v>17</v>
      </c>
      <c r="C595" s="2" t="s">
        <v>19</v>
      </c>
      <c r="D595" s="2" t="s">
        <v>22</v>
      </c>
      <c r="E595" s="2" t="s">
        <v>34</v>
      </c>
      <c r="F595" s="2" t="s">
        <v>36</v>
      </c>
      <c r="G595" s="3">
        <v>2998391</v>
      </c>
      <c r="H595" s="3">
        <v>2339776</v>
      </c>
      <c r="I595" s="2" t="s">
        <v>40</v>
      </c>
      <c r="J595" s="3">
        <f t="shared" si="9"/>
        <v>194981.33333333334</v>
      </c>
    </row>
    <row r="596" spans="1:10" x14ac:dyDescent="0.35">
      <c r="A596" s="2" t="s">
        <v>13</v>
      </c>
      <c r="B596" s="2" t="s">
        <v>16</v>
      </c>
      <c r="C596" s="2" t="s">
        <v>19</v>
      </c>
      <c r="D596" s="2" t="s">
        <v>28</v>
      </c>
      <c r="E596" s="2" t="s">
        <v>32</v>
      </c>
      <c r="F596" s="2" t="s">
        <v>38</v>
      </c>
      <c r="G596" s="3">
        <v>2867340</v>
      </c>
      <c r="H596" s="3">
        <v>2330935</v>
      </c>
      <c r="I596" s="2" t="s">
        <v>9</v>
      </c>
      <c r="J596" s="3">
        <f t="shared" si="9"/>
        <v>194244.58333333334</v>
      </c>
    </row>
    <row r="597" spans="1:10" x14ac:dyDescent="0.35">
      <c r="A597" s="2" t="s">
        <v>9</v>
      </c>
      <c r="B597" s="2" t="s">
        <v>17</v>
      </c>
      <c r="C597" s="2" t="s">
        <v>18</v>
      </c>
      <c r="D597" s="2" t="s">
        <v>27</v>
      </c>
      <c r="E597" s="2" t="s">
        <v>29</v>
      </c>
      <c r="F597" s="2" t="s">
        <v>38</v>
      </c>
      <c r="G597" s="3">
        <v>1753288</v>
      </c>
      <c r="H597" s="3">
        <v>1245739</v>
      </c>
      <c r="I597" s="2" t="s">
        <v>9</v>
      </c>
      <c r="J597" s="3">
        <f t="shared" si="9"/>
        <v>103811.58333333333</v>
      </c>
    </row>
    <row r="598" spans="1:10" x14ac:dyDescent="0.35">
      <c r="A598" s="2" t="s">
        <v>10</v>
      </c>
      <c r="B598" s="2" t="s">
        <v>15</v>
      </c>
      <c r="C598" s="2" t="s">
        <v>18</v>
      </c>
      <c r="D598" s="2" t="s">
        <v>25</v>
      </c>
      <c r="E598" s="2" t="s">
        <v>30</v>
      </c>
      <c r="F598" s="2" t="s">
        <v>39</v>
      </c>
      <c r="G598" s="3">
        <v>831386</v>
      </c>
      <c r="H598" s="3">
        <v>588501</v>
      </c>
      <c r="I598" s="2" t="s">
        <v>40</v>
      </c>
      <c r="J598" s="3">
        <f t="shared" si="9"/>
        <v>49041.75</v>
      </c>
    </row>
    <row r="599" spans="1:10" x14ac:dyDescent="0.35">
      <c r="A599" s="2" t="s">
        <v>10</v>
      </c>
      <c r="B599" s="2" t="s">
        <v>15</v>
      </c>
      <c r="C599" s="2" t="s">
        <v>18</v>
      </c>
      <c r="D599" s="2" t="s">
        <v>22</v>
      </c>
      <c r="E599" s="2" t="s">
        <v>33</v>
      </c>
      <c r="F599" s="2" t="s">
        <v>39</v>
      </c>
      <c r="G599" s="3">
        <v>891983</v>
      </c>
      <c r="H599" s="3">
        <v>703152</v>
      </c>
      <c r="I599" s="2" t="s">
        <v>40</v>
      </c>
      <c r="J599" s="3">
        <f t="shared" si="9"/>
        <v>58596</v>
      </c>
    </row>
    <row r="600" spans="1:10" x14ac:dyDescent="0.35">
      <c r="A600" s="2" t="s">
        <v>11</v>
      </c>
      <c r="B600" s="2" t="s">
        <v>16</v>
      </c>
      <c r="C600" s="2" t="s">
        <v>18</v>
      </c>
      <c r="D600" s="2" t="s">
        <v>23</v>
      </c>
      <c r="E600" s="2" t="s">
        <v>29</v>
      </c>
      <c r="F600" s="2" t="s">
        <v>39</v>
      </c>
      <c r="G600" s="3">
        <v>4330992</v>
      </c>
      <c r="H600" s="3">
        <v>3389465</v>
      </c>
      <c r="I600" s="2" t="s">
        <v>11</v>
      </c>
      <c r="J600" s="3">
        <f t="shared" si="9"/>
        <v>282455.41666666669</v>
      </c>
    </row>
    <row r="601" spans="1:10" x14ac:dyDescent="0.35">
      <c r="A601" s="2" t="s">
        <v>9</v>
      </c>
      <c r="B601" s="2" t="s">
        <v>16</v>
      </c>
      <c r="C601" s="2" t="s">
        <v>19</v>
      </c>
      <c r="D601" s="2" t="s">
        <v>27</v>
      </c>
      <c r="E601" s="2" t="s">
        <v>34</v>
      </c>
      <c r="F601" s="2" t="s">
        <v>39</v>
      </c>
      <c r="G601" s="3">
        <v>2711957</v>
      </c>
      <c r="H601" s="3">
        <v>1915898</v>
      </c>
      <c r="I601" s="2" t="s">
        <v>9</v>
      </c>
      <c r="J601" s="3">
        <f t="shared" si="9"/>
        <v>159658.16666666666</v>
      </c>
    </row>
    <row r="602" spans="1:10" x14ac:dyDescent="0.35">
      <c r="A602" s="2" t="s">
        <v>11</v>
      </c>
      <c r="B602" s="2" t="s">
        <v>17</v>
      </c>
      <c r="C602" s="2" t="s">
        <v>19</v>
      </c>
      <c r="D602" s="2" t="s">
        <v>27</v>
      </c>
      <c r="E602" s="2" t="s">
        <v>33</v>
      </c>
      <c r="F602" s="2" t="s">
        <v>37</v>
      </c>
      <c r="G602" s="3">
        <v>1521699</v>
      </c>
      <c r="H602" s="3">
        <v>1241723</v>
      </c>
      <c r="I602" s="2" t="s">
        <v>11</v>
      </c>
      <c r="J602" s="3">
        <f t="shared" si="9"/>
        <v>103476.91666666667</v>
      </c>
    </row>
    <row r="603" spans="1:10" x14ac:dyDescent="0.35">
      <c r="A603" s="2" t="s">
        <v>10</v>
      </c>
      <c r="B603" s="2" t="s">
        <v>17</v>
      </c>
      <c r="C603" s="2" t="s">
        <v>19</v>
      </c>
      <c r="D603" s="2" t="s">
        <v>28</v>
      </c>
      <c r="E603" s="2" t="s">
        <v>30</v>
      </c>
      <c r="F603" s="2" t="s">
        <v>37</v>
      </c>
      <c r="G603" s="3">
        <v>2324390</v>
      </c>
      <c r="H603" s="3">
        <v>1659393</v>
      </c>
      <c r="I603" s="2" t="s">
        <v>40</v>
      </c>
      <c r="J603" s="3">
        <f t="shared" si="9"/>
        <v>138282.75</v>
      </c>
    </row>
    <row r="604" spans="1:10" x14ac:dyDescent="0.35">
      <c r="A604" s="2" t="s">
        <v>13</v>
      </c>
      <c r="B604" s="2" t="s">
        <v>16</v>
      </c>
      <c r="C604" s="2" t="s">
        <v>19</v>
      </c>
      <c r="D604" s="2" t="s">
        <v>21</v>
      </c>
      <c r="E604" s="2" t="s">
        <v>34</v>
      </c>
      <c r="F604" s="2" t="s">
        <v>39</v>
      </c>
      <c r="G604" s="3">
        <v>3701165</v>
      </c>
      <c r="H604" s="3">
        <v>3003190</v>
      </c>
      <c r="I604" s="2" t="s">
        <v>9</v>
      </c>
      <c r="J604" s="3">
        <f t="shared" si="9"/>
        <v>250265.83333333334</v>
      </c>
    </row>
    <row r="605" spans="1:10" x14ac:dyDescent="0.35">
      <c r="A605" s="2" t="s">
        <v>11</v>
      </c>
      <c r="B605" s="2" t="s">
        <v>15</v>
      </c>
      <c r="C605" s="2" t="s">
        <v>18</v>
      </c>
      <c r="D605" s="2" t="s">
        <v>23</v>
      </c>
      <c r="E605" s="2" t="s">
        <v>29</v>
      </c>
      <c r="F605" s="2" t="s">
        <v>37</v>
      </c>
      <c r="G605" s="3">
        <v>636771</v>
      </c>
      <c r="H605" s="3">
        <v>486239</v>
      </c>
      <c r="I605" s="2" t="s">
        <v>11</v>
      </c>
      <c r="J605" s="3">
        <f t="shared" si="9"/>
        <v>40519.916666666664</v>
      </c>
    </row>
    <row r="606" spans="1:10" x14ac:dyDescent="0.35">
      <c r="A606" s="2" t="s">
        <v>14</v>
      </c>
      <c r="B606" s="2" t="s">
        <v>15</v>
      </c>
      <c r="C606" s="2" t="s">
        <v>18</v>
      </c>
      <c r="D606" s="2" t="s">
        <v>21</v>
      </c>
      <c r="E606" s="2" t="s">
        <v>32</v>
      </c>
      <c r="F606" s="2" t="s">
        <v>39</v>
      </c>
      <c r="G606" s="3">
        <v>1152090</v>
      </c>
      <c r="H606" s="3">
        <v>926738</v>
      </c>
      <c r="I606" s="2" t="s">
        <v>40</v>
      </c>
      <c r="J606" s="3">
        <f t="shared" si="9"/>
        <v>77228.166666666672</v>
      </c>
    </row>
    <row r="607" spans="1:10" x14ac:dyDescent="0.35">
      <c r="A607" s="2" t="s">
        <v>12</v>
      </c>
      <c r="B607" s="2" t="s">
        <v>16</v>
      </c>
      <c r="C607" s="2" t="s">
        <v>18</v>
      </c>
      <c r="D607" s="2" t="s">
        <v>25</v>
      </c>
      <c r="E607" s="2" t="s">
        <v>29</v>
      </c>
      <c r="F607" s="2" t="s">
        <v>37</v>
      </c>
      <c r="G607" s="3">
        <v>4533895</v>
      </c>
      <c r="H607" s="3">
        <v>3349411</v>
      </c>
      <c r="I607" s="2" t="s">
        <v>11</v>
      </c>
      <c r="J607" s="3">
        <f t="shared" si="9"/>
        <v>279117.58333333331</v>
      </c>
    </row>
    <row r="608" spans="1:10" x14ac:dyDescent="0.35">
      <c r="A608" s="2" t="s">
        <v>14</v>
      </c>
      <c r="B608" s="2" t="s">
        <v>17</v>
      </c>
      <c r="C608" s="2" t="s">
        <v>19</v>
      </c>
      <c r="D608" s="2" t="s">
        <v>23</v>
      </c>
      <c r="E608" s="2" t="s">
        <v>32</v>
      </c>
      <c r="F608" s="2" t="s">
        <v>37</v>
      </c>
      <c r="G608" s="3">
        <v>2537609</v>
      </c>
      <c r="H608" s="3">
        <v>1946147</v>
      </c>
      <c r="I608" s="2" t="s">
        <v>40</v>
      </c>
      <c r="J608" s="3">
        <f t="shared" si="9"/>
        <v>162178.91666666666</v>
      </c>
    </row>
    <row r="609" spans="1:10" x14ac:dyDescent="0.35">
      <c r="A609" s="2" t="s">
        <v>12</v>
      </c>
      <c r="B609" s="2" t="s">
        <v>15</v>
      </c>
      <c r="C609" s="2" t="s">
        <v>18</v>
      </c>
      <c r="D609" s="2" t="s">
        <v>21</v>
      </c>
      <c r="E609" s="2" t="s">
        <v>34</v>
      </c>
      <c r="F609" s="2" t="s">
        <v>39</v>
      </c>
      <c r="G609" s="3">
        <v>851985</v>
      </c>
      <c r="H609" s="3">
        <v>660934</v>
      </c>
      <c r="I609" s="2" t="s">
        <v>11</v>
      </c>
      <c r="J609" s="3">
        <f t="shared" si="9"/>
        <v>55077.833333333336</v>
      </c>
    </row>
    <row r="610" spans="1:10" x14ac:dyDescent="0.35">
      <c r="A610" s="2" t="s">
        <v>13</v>
      </c>
      <c r="B610" s="2" t="s">
        <v>17</v>
      </c>
      <c r="C610" s="2" t="s">
        <v>19</v>
      </c>
      <c r="D610" s="2" t="s">
        <v>25</v>
      </c>
      <c r="E610" s="2" t="s">
        <v>34</v>
      </c>
      <c r="F610" s="2" t="s">
        <v>37</v>
      </c>
      <c r="G610" s="3">
        <v>1825488</v>
      </c>
      <c r="H610" s="3">
        <v>1396417</v>
      </c>
      <c r="I610" s="2" t="s">
        <v>9</v>
      </c>
      <c r="J610" s="3">
        <f t="shared" si="9"/>
        <v>116368.08333333333</v>
      </c>
    </row>
    <row r="611" spans="1:10" x14ac:dyDescent="0.35">
      <c r="A611" s="2" t="s">
        <v>11</v>
      </c>
      <c r="B611" s="2" t="s">
        <v>17</v>
      </c>
      <c r="C611" s="2" t="s">
        <v>18</v>
      </c>
      <c r="D611" s="2" t="s">
        <v>27</v>
      </c>
      <c r="E611" s="2" t="s">
        <v>35</v>
      </c>
      <c r="F611" s="2" t="s">
        <v>39</v>
      </c>
      <c r="G611" s="3">
        <v>2319265</v>
      </c>
      <c r="H611" s="3">
        <v>1686140</v>
      </c>
      <c r="I611" s="2" t="s">
        <v>11</v>
      </c>
      <c r="J611" s="3">
        <f t="shared" si="9"/>
        <v>140511.66666666666</v>
      </c>
    </row>
    <row r="612" spans="1:10" x14ac:dyDescent="0.35">
      <c r="A612" s="2" t="s">
        <v>14</v>
      </c>
      <c r="B612" s="2" t="s">
        <v>16</v>
      </c>
      <c r="C612" s="2" t="s">
        <v>19</v>
      </c>
      <c r="D612" s="2" t="s">
        <v>25</v>
      </c>
      <c r="E612" s="2" t="s">
        <v>34</v>
      </c>
      <c r="F612" s="2" t="s">
        <v>39</v>
      </c>
      <c r="G612" s="3">
        <v>4335755</v>
      </c>
      <c r="H612" s="3">
        <v>3052532</v>
      </c>
      <c r="I612" s="2" t="s">
        <v>40</v>
      </c>
      <c r="J612" s="3">
        <f t="shared" si="9"/>
        <v>254377.66666666666</v>
      </c>
    </row>
    <row r="613" spans="1:10" x14ac:dyDescent="0.35">
      <c r="A613" s="2" t="s">
        <v>13</v>
      </c>
      <c r="B613" s="2" t="s">
        <v>17</v>
      </c>
      <c r="C613" s="2" t="s">
        <v>18</v>
      </c>
      <c r="D613" s="2" t="s">
        <v>26</v>
      </c>
      <c r="E613" s="2" t="s">
        <v>30</v>
      </c>
      <c r="F613" s="2" t="s">
        <v>38</v>
      </c>
      <c r="G613" s="3">
        <v>2102189</v>
      </c>
      <c r="H613" s="3">
        <v>1626625</v>
      </c>
      <c r="I613" s="2" t="s">
        <v>9</v>
      </c>
      <c r="J613" s="3">
        <f t="shared" si="9"/>
        <v>135552.08333333334</v>
      </c>
    </row>
    <row r="614" spans="1:10" x14ac:dyDescent="0.35">
      <c r="A614" s="2" t="s">
        <v>12</v>
      </c>
      <c r="B614" s="2" t="s">
        <v>16</v>
      </c>
      <c r="C614" s="2" t="s">
        <v>18</v>
      </c>
      <c r="D614" s="2" t="s">
        <v>27</v>
      </c>
      <c r="E614" s="2" t="s">
        <v>29</v>
      </c>
      <c r="F614" s="2" t="s">
        <v>39</v>
      </c>
      <c r="G614" s="3">
        <v>3689017</v>
      </c>
      <c r="H614" s="3">
        <v>2600027</v>
      </c>
      <c r="I614" s="2" t="s">
        <v>11</v>
      </c>
      <c r="J614" s="3">
        <f t="shared" si="9"/>
        <v>216668.91666666666</v>
      </c>
    </row>
    <row r="615" spans="1:10" x14ac:dyDescent="0.35">
      <c r="A615" s="2" t="s">
        <v>13</v>
      </c>
      <c r="B615" s="2" t="s">
        <v>15</v>
      </c>
      <c r="C615" s="2" t="s">
        <v>19</v>
      </c>
      <c r="D615" s="2" t="s">
        <v>21</v>
      </c>
      <c r="E615" s="2" t="s">
        <v>34</v>
      </c>
      <c r="F615" s="2" t="s">
        <v>37</v>
      </c>
      <c r="G615" s="3">
        <v>834949</v>
      </c>
      <c r="H615" s="3">
        <v>676070</v>
      </c>
      <c r="I615" s="2" t="s">
        <v>9</v>
      </c>
      <c r="J615" s="3">
        <f t="shared" si="9"/>
        <v>56339.166666666664</v>
      </c>
    </row>
    <row r="616" spans="1:10" x14ac:dyDescent="0.35">
      <c r="A616" s="2" t="s">
        <v>11</v>
      </c>
      <c r="B616" s="2" t="s">
        <v>15</v>
      </c>
      <c r="C616" s="2" t="s">
        <v>19</v>
      </c>
      <c r="D616" s="2" t="s">
        <v>20</v>
      </c>
      <c r="E616" s="2" t="s">
        <v>31</v>
      </c>
      <c r="F616" s="2" t="s">
        <v>37</v>
      </c>
      <c r="G616" s="3">
        <v>577706</v>
      </c>
      <c r="H616" s="3">
        <v>413509</v>
      </c>
      <c r="I616" s="2" t="s">
        <v>11</v>
      </c>
      <c r="J616" s="3">
        <f t="shared" si="9"/>
        <v>34459.083333333336</v>
      </c>
    </row>
    <row r="617" spans="1:10" x14ac:dyDescent="0.35">
      <c r="A617" s="2" t="s">
        <v>14</v>
      </c>
      <c r="B617" s="2" t="s">
        <v>16</v>
      </c>
      <c r="C617" s="2" t="s">
        <v>19</v>
      </c>
      <c r="D617" s="2" t="s">
        <v>24</v>
      </c>
      <c r="E617" s="2" t="s">
        <v>35</v>
      </c>
      <c r="F617" s="2" t="s">
        <v>39</v>
      </c>
      <c r="G617" s="3">
        <v>6966415</v>
      </c>
      <c r="H617" s="3">
        <v>5545447</v>
      </c>
      <c r="I617" s="2" t="s">
        <v>40</v>
      </c>
      <c r="J617" s="3">
        <f t="shared" si="9"/>
        <v>462120.58333333331</v>
      </c>
    </row>
    <row r="618" spans="1:10" x14ac:dyDescent="0.35">
      <c r="A618" s="2" t="s">
        <v>14</v>
      </c>
      <c r="B618" s="2" t="s">
        <v>17</v>
      </c>
      <c r="C618" s="2" t="s">
        <v>19</v>
      </c>
      <c r="D618" s="2" t="s">
        <v>23</v>
      </c>
      <c r="E618" s="2" t="s">
        <v>31</v>
      </c>
      <c r="F618" s="2" t="s">
        <v>39</v>
      </c>
      <c r="G618" s="3">
        <v>2755383</v>
      </c>
      <c r="H618" s="3">
        <v>2242396</v>
      </c>
      <c r="I618" s="2" t="s">
        <v>40</v>
      </c>
      <c r="J618" s="3">
        <f t="shared" si="9"/>
        <v>186866.33333333334</v>
      </c>
    </row>
    <row r="619" spans="1:10" x14ac:dyDescent="0.35">
      <c r="A619" s="2" t="s">
        <v>9</v>
      </c>
      <c r="B619" s="2" t="s">
        <v>15</v>
      </c>
      <c r="C619" s="2" t="s">
        <v>19</v>
      </c>
      <c r="D619" s="2" t="s">
        <v>23</v>
      </c>
      <c r="E619" s="2" t="s">
        <v>29</v>
      </c>
      <c r="F619" s="2" t="s">
        <v>39</v>
      </c>
      <c r="G619" s="3">
        <v>751936</v>
      </c>
      <c r="H619" s="3">
        <v>579646</v>
      </c>
      <c r="I619" s="2" t="s">
        <v>9</v>
      </c>
      <c r="J619" s="3">
        <f t="shared" si="9"/>
        <v>48303.833333333336</v>
      </c>
    </row>
    <row r="620" spans="1:10" x14ac:dyDescent="0.35">
      <c r="A620" s="2" t="s">
        <v>12</v>
      </c>
      <c r="B620" s="2" t="s">
        <v>16</v>
      </c>
      <c r="C620" s="2" t="s">
        <v>18</v>
      </c>
      <c r="D620" s="2" t="s">
        <v>27</v>
      </c>
      <c r="E620" s="2" t="s">
        <v>35</v>
      </c>
      <c r="F620" s="2" t="s">
        <v>38</v>
      </c>
      <c r="G620" s="3">
        <v>4165404</v>
      </c>
      <c r="H620" s="3">
        <v>3320870</v>
      </c>
      <c r="I620" s="2" t="s">
        <v>11</v>
      </c>
      <c r="J620" s="3">
        <f t="shared" si="9"/>
        <v>276739.16666666669</v>
      </c>
    </row>
    <row r="621" spans="1:10" x14ac:dyDescent="0.35">
      <c r="A621" s="2" t="s">
        <v>12</v>
      </c>
      <c r="B621" s="2" t="s">
        <v>15</v>
      </c>
      <c r="C621" s="2" t="s">
        <v>18</v>
      </c>
      <c r="D621" s="2" t="s">
        <v>22</v>
      </c>
      <c r="E621" s="2" t="s">
        <v>30</v>
      </c>
      <c r="F621" s="2" t="s">
        <v>38</v>
      </c>
      <c r="G621" s="3">
        <v>1100988</v>
      </c>
      <c r="H621" s="3">
        <v>812482</v>
      </c>
      <c r="I621" s="2" t="s">
        <v>11</v>
      </c>
      <c r="J621" s="3">
        <f t="shared" si="9"/>
        <v>67706.833333333328</v>
      </c>
    </row>
    <row r="622" spans="1:10" x14ac:dyDescent="0.35">
      <c r="A622" s="2" t="s">
        <v>13</v>
      </c>
      <c r="B622" s="2" t="s">
        <v>16</v>
      </c>
      <c r="C622" s="2" t="s">
        <v>18</v>
      </c>
      <c r="D622" s="2" t="s">
        <v>26</v>
      </c>
      <c r="E622" s="2" t="s">
        <v>32</v>
      </c>
      <c r="F622" s="2" t="s">
        <v>38</v>
      </c>
      <c r="G622" s="3">
        <v>4837386</v>
      </c>
      <c r="H622" s="3">
        <v>3658688</v>
      </c>
      <c r="I622" s="2" t="s">
        <v>9</v>
      </c>
      <c r="J622" s="3">
        <f t="shared" si="9"/>
        <v>304890.66666666669</v>
      </c>
    </row>
    <row r="623" spans="1:10" x14ac:dyDescent="0.35">
      <c r="A623" s="2" t="s">
        <v>11</v>
      </c>
      <c r="B623" s="2" t="s">
        <v>15</v>
      </c>
      <c r="C623" s="2" t="s">
        <v>18</v>
      </c>
      <c r="D623" s="2" t="s">
        <v>26</v>
      </c>
      <c r="E623" s="2" t="s">
        <v>29</v>
      </c>
      <c r="F623" s="2" t="s">
        <v>37</v>
      </c>
      <c r="G623" s="3">
        <v>1188119</v>
      </c>
      <c r="H623" s="3">
        <v>918431</v>
      </c>
      <c r="I623" s="2" t="s">
        <v>11</v>
      </c>
      <c r="J623" s="3">
        <f t="shared" si="9"/>
        <v>76535.916666666672</v>
      </c>
    </row>
    <row r="624" spans="1:10" x14ac:dyDescent="0.35">
      <c r="A624" s="2" t="s">
        <v>10</v>
      </c>
      <c r="B624" s="2" t="s">
        <v>17</v>
      </c>
      <c r="C624" s="2" t="s">
        <v>19</v>
      </c>
      <c r="D624" s="2" t="s">
        <v>27</v>
      </c>
      <c r="E624" s="2" t="s">
        <v>34</v>
      </c>
      <c r="F624" s="2" t="s">
        <v>37</v>
      </c>
      <c r="G624" s="3">
        <v>2651814</v>
      </c>
      <c r="H624" s="3">
        <v>1978483</v>
      </c>
      <c r="I624" s="2" t="s">
        <v>40</v>
      </c>
      <c r="J624" s="3">
        <f t="shared" si="9"/>
        <v>164873.58333333334</v>
      </c>
    </row>
    <row r="625" spans="1:10" x14ac:dyDescent="0.35">
      <c r="A625" s="2" t="s">
        <v>11</v>
      </c>
      <c r="B625" s="2" t="s">
        <v>15</v>
      </c>
      <c r="C625" s="2" t="s">
        <v>18</v>
      </c>
      <c r="D625" s="2" t="s">
        <v>22</v>
      </c>
      <c r="E625" s="2" t="s">
        <v>30</v>
      </c>
      <c r="F625" s="2" t="s">
        <v>37</v>
      </c>
      <c r="G625" s="3">
        <v>899296</v>
      </c>
      <c r="H625" s="3">
        <v>700840</v>
      </c>
      <c r="I625" s="2" t="s">
        <v>11</v>
      </c>
      <c r="J625" s="3">
        <f t="shared" si="9"/>
        <v>58403.333333333336</v>
      </c>
    </row>
    <row r="626" spans="1:10" x14ac:dyDescent="0.35">
      <c r="A626" s="2" t="s">
        <v>12</v>
      </c>
      <c r="B626" s="2" t="s">
        <v>17</v>
      </c>
      <c r="C626" s="2" t="s">
        <v>19</v>
      </c>
      <c r="D626" s="2" t="s">
        <v>28</v>
      </c>
      <c r="E626" s="2" t="s">
        <v>32</v>
      </c>
      <c r="F626" s="2" t="s">
        <v>38</v>
      </c>
      <c r="G626" s="3">
        <v>1273412</v>
      </c>
      <c r="H626" s="3">
        <v>995248</v>
      </c>
      <c r="I626" s="2" t="s">
        <v>11</v>
      </c>
      <c r="J626" s="3">
        <f t="shared" si="9"/>
        <v>82937.333333333328</v>
      </c>
    </row>
    <row r="627" spans="1:10" x14ac:dyDescent="0.35">
      <c r="A627" s="2" t="s">
        <v>9</v>
      </c>
      <c r="B627" s="2" t="s">
        <v>15</v>
      </c>
      <c r="C627" s="2" t="s">
        <v>18</v>
      </c>
      <c r="D627" s="2" t="s">
        <v>21</v>
      </c>
      <c r="E627" s="2" t="s">
        <v>32</v>
      </c>
      <c r="F627" s="2" t="s">
        <v>37</v>
      </c>
      <c r="G627" s="3">
        <v>724404</v>
      </c>
      <c r="H627" s="3">
        <v>591920</v>
      </c>
      <c r="I627" s="2" t="s">
        <v>9</v>
      </c>
      <c r="J627" s="3">
        <f t="shared" si="9"/>
        <v>49326.666666666664</v>
      </c>
    </row>
    <row r="628" spans="1:10" x14ac:dyDescent="0.35">
      <c r="A628" s="2" t="s">
        <v>11</v>
      </c>
      <c r="B628" s="2" t="s">
        <v>17</v>
      </c>
      <c r="C628" s="2" t="s">
        <v>19</v>
      </c>
      <c r="D628" s="2" t="s">
        <v>24</v>
      </c>
      <c r="E628" s="2" t="s">
        <v>34</v>
      </c>
      <c r="F628" s="2" t="s">
        <v>37</v>
      </c>
      <c r="G628" s="3">
        <v>1873072</v>
      </c>
      <c r="H628" s="3">
        <v>1416813</v>
      </c>
      <c r="I628" s="2" t="s">
        <v>11</v>
      </c>
      <c r="J628" s="3">
        <f t="shared" si="9"/>
        <v>118067.75</v>
      </c>
    </row>
    <row r="629" spans="1:10" x14ac:dyDescent="0.35">
      <c r="A629" s="2" t="s">
        <v>9</v>
      </c>
      <c r="B629" s="2" t="s">
        <v>17</v>
      </c>
      <c r="C629" s="2" t="s">
        <v>19</v>
      </c>
      <c r="D629" s="2" t="s">
        <v>20</v>
      </c>
      <c r="E629" s="2" t="s">
        <v>35</v>
      </c>
      <c r="F629" s="2" t="s">
        <v>38</v>
      </c>
      <c r="G629" s="3">
        <v>957741</v>
      </c>
      <c r="H629" s="3">
        <v>714949</v>
      </c>
      <c r="I629" s="2" t="s">
        <v>9</v>
      </c>
      <c r="J629" s="3">
        <f t="shared" si="9"/>
        <v>59579.083333333336</v>
      </c>
    </row>
    <row r="630" spans="1:10" x14ac:dyDescent="0.35">
      <c r="A630" s="2" t="s">
        <v>9</v>
      </c>
      <c r="B630" s="2" t="s">
        <v>16</v>
      </c>
      <c r="C630" s="2" t="s">
        <v>18</v>
      </c>
      <c r="D630" s="2" t="s">
        <v>23</v>
      </c>
      <c r="E630" s="2" t="s">
        <v>33</v>
      </c>
      <c r="F630" s="2" t="s">
        <v>38</v>
      </c>
      <c r="G630" s="3">
        <v>2030399</v>
      </c>
      <c r="H630" s="3">
        <v>1508229</v>
      </c>
      <c r="I630" s="2" t="s">
        <v>9</v>
      </c>
      <c r="J630" s="3">
        <f t="shared" si="9"/>
        <v>125685.75</v>
      </c>
    </row>
    <row r="631" spans="1:10" x14ac:dyDescent="0.35">
      <c r="A631" s="2" t="s">
        <v>12</v>
      </c>
      <c r="B631" s="2" t="s">
        <v>16</v>
      </c>
      <c r="C631" s="2" t="s">
        <v>19</v>
      </c>
      <c r="D631" s="2" t="s">
        <v>26</v>
      </c>
      <c r="E631" s="2" t="s">
        <v>32</v>
      </c>
      <c r="F631" s="2" t="s">
        <v>36</v>
      </c>
      <c r="G631" s="3">
        <v>3440726</v>
      </c>
      <c r="H631" s="3">
        <v>2488578</v>
      </c>
      <c r="I631" s="2" t="s">
        <v>11</v>
      </c>
      <c r="J631" s="3">
        <f t="shared" si="9"/>
        <v>207381.5</v>
      </c>
    </row>
    <row r="632" spans="1:10" x14ac:dyDescent="0.35">
      <c r="A632" s="2" t="s">
        <v>12</v>
      </c>
      <c r="B632" s="2" t="s">
        <v>15</v>
      </c>
      <c r="C632" s="2" t="s">
        <v>18</v>
      </c>
      <c r="D632" s="2" t="s">
        <v>25</v>
      </c>
      <c r="E632" s="2" t="s">
        <v>30</v>
      </c>
      <c r="F632" s="2" t="s">
        <v>38</v>
      </c>
      <c r="G632" s="3">
        <v>507164</v>
      </c>
      <c r="H632" s="3">
        <v>394264</v>
      </c>
      <c r="I632" s="2" t="s">
        <v>11</v>
      </c>
      <c r="J632" s="3">
        <f t="shared" si="9"/>
        <v>32855.333333333336</v>
      </c>
    </row>
    <row r="633" spans="1:10" x14ac:dyDescent="0.35">
      <c r="A633" s="2" t="s">
        <v>14</v>
      </c>
      <c r="B633" s="2" t="s">
        <v>15</v>
      </c>
      <c r="C633" s="2" t="s">
        <v>18</v>
      </c>
      <c r="D633" s="2" t="s">
        <v>26</v>
      </c>
      <c r="E633" s="2" t="s">
        <v>32</v>
      </c>
      <c r="F633" s="2" t="s">
        <v>37</v>
      </c>
      <c r="G633" s="3">
        <v>1266528</v>
      </c>
      <c r="H633" s="3">
        <v>968193</v>
      </c>
      <c r="I633" s="2" t="s">
        <v>40</v>
      </c>
      <c r="J633" s="3">
        <f t="shared" si="9"/>
        <v>80682.75</v>
      </c>
    </row>
    <row r="634" spans="1:10" x14ac:dyDescent="0.35">
      <c r="A634" s="2" t="s">
        <v>9</v>
      </c>
      <c r="B634" s="2" t="s">
        <v>17</v>
      </c>
      <c r="C634" s="2" t="s">
        <v>19</v>
      </c>
      <c r="D634" s="2" t="s">
        <v>26</v>
      </c>
      <c r="E634" s="2" t="s">
        <v>34</v>
      </c>
      <c r="F634" s="2" t="s">
        <v>37</v>
      </c>
      <c r="G634" s="3">
        <v>847190</v>
      </c>
      <c r="H634" s="3">
        <v>618545</v>
      </c>
      <c r="I634" s="2" t="s">
        <v>9</v>
      </c>
      <c r="J634" s="3">
        <f t="shared" si="9"/>
        <v>51545.416666666664</v>
      </c>
    </row>
    <row r="635" spans="1:10" x14ac:dyDescent="0.35">
      <c r="A635" s="2" t="s">
        <v>9</v>
      </c>
      <c r="B635" s="2" t="s">
        <v>17</v>
      </c>
      <c r="C635" s="2" t="s">
        <v>19</v>
      </c>
      <c r="D635" s="2" t="s">
        <v>24</v>
      </c>
      <c r="E635" s="2" t="s">
        <v>32</v>
      </c>
      <c r="F635" s="2" t="s">
        <v>39</v>
      </c>
      <c r="G635" s="3">
        <v>1335584</v>
      </c>
      <c r="H635" s="3">
        <v>1089795</v>
      </c>
      <c r="I635" s="2" t="s">
        <v>9</v>
      </c>
      <c r="J635" s="3">
        <f t="shared" si="9"/>
        <v>90816.25</v>
      </c>
    </row>
    <row r="636" spans="1:10" x14ac:dyDescent="0.35">
      <c r="A636" s="2" t="s">
        <v>10</v>
      </c>
      <c r="B636" s="2" t="s">
        <v>17</v>
      </c>
      <c r="C636" s="2" t="s">
        <v>18</v>
      </c>
      <c r="D636" s="2" t="s">
        <v>26</v>
      </c>
      <c r="E636" s="2" t="s">
        <v>29</v>
      </c>
      <c r="F636" s="2" t="s">
        <v>37</v>
      </c>
      <c r="G636" s="3">
        <v>2288630</v>
      </c>
      <c r="H636" s="3">
        <v>1625878</v>
      </c>
      <c r="I636" s="2" t="s">
        <v>40</v>
      </c>
      <c r="J636" s="3">
        <f t="shared" si="9"/>
        <v>135489.83333333334</v>
      </c>
    </row>
    <row r="637" spans="1:10" x14ac:dyDescent="0.35">
      <c r="A637" s="2" t="s">
        <v>12</v>
      </c>
      <c r="B637" s="2" t="s">
        <v>17</v>
      </c>
      <c r="C637" s="2" t="s">
        <v>18</v>
      </c>
      <c r="D637" s="2" t="s">
        <v>24</v>
      </c>
      <c r="E637" s="2" t="s">
        <v>30</v>
      </c>
      <c r="F637" s="2" t="s">
        <v>36</v>
      </c>
      <c r="G637" s="3">
        <v>1498158</v>
      </c>
      <c r="H637" s="3">
        <v>1138615</v>
      </c>
      <c r="I637" s="2" t="s">
        <v>11</v>
      </c>
      <c r="J637" s="3">
        <f t="shared" si="9"/>
        <v>94884.583333333328</v>
      </c>
    </row>
    <row r="638" spans="1:10" x14ac:dyDescent="0.35">
      <c r="A638" s="2" t="s">
        <v>14</v>
      </c>
      <c r="B638" s="2" t="s">
        <v>17</v>
      </c>
      <c r="C638" s="2" t="s">
        <v>19</v>
      </c>
      <c r="D638" s="2" t="s">
        <v>22</v>
      </c>
      <c r="E638" s="2" t="s">
        <v>34</v>
      </c>
      <c r="F638" s="2" t="s">
        <v>37</v>
      </c>
      <c r="G638" s="3">
        <v>1731719</v>
      </c>
      <c r="H638" s="3">
        <v>1390344</v>
      </c>
      <c r="I638" s="2" t="s">
        <v>40</v>
      </c>
      <c r="J638" s="3">
        <f t="shared" si="9"/>
        <v>115862</v>
      </c>
    </row>
    <row r="639" spans="1:10" x14ac:dyDescent="0.35">
      <c r="A639" s="2" t="s">
        <v>14</v>
      </c>
      <c r="B639" s="2" t="s">
        <v>17</v>
      </c>
      <c r="C639" s="2" t="s">
        <v>18</v>
      </c>
      <c r="D639" s="2" t="s">
        <v>26</v>
      </c>
      <c r="E639" s="2" t="s">
        <v>33</v>
      </c>
      <c r="F639" s="2" t="s">
        <v>38</v>
      </c>
      <c r="G639" s="3">
        <v>2233304</v>
      </c>
      <c r="H639" s="3">
        <v>1566497</v>
      </c>
      <c r="I639" s="2" t="s">
        <v>40</v>
      </c>
      <c r="J639" s="3">
        <f t="shared" si="9"/>
        <v>130541.41666666667</v>
      </c>
    </row>
    <row r="640" spans="1:10" x14ac:dyDescent="0.35">
      <c r="A640" s="2" t="s">
        <v>13</v>
      </c>
      <c r="B640" s="2" t="s">
        <v>15</v>
      </c>
      <c r="C640" s="2" t="s">
        <v>19</v>
      </c>
      <c r="D640" s="2" t="s">
        <v>28</v>
      </c>
      <c r="E640" s="2" t="s">
        <v>30</v>
      </c>
      <c r="F640" s="2" t="s">
        <v>37</v>
      </c>
      <c r="G640" s="3">
        <v>639727</v>
      </c>
      <c r="H640" s="3">
        <v>516260</v>
      </c>
      <c r="I640" s="2" t="s">
        <v>9</v>
      </c>
      <c r="J640" s="3">
        <f t="shared" si="9"/>
        <v>43021.666666666664</v>
      </c>
    </row>
    <row r="641" spans="1:10" x14ac:dyDescent="0.35">
      <c r="A641" s="2" t="s">
        <v>10</v>
      </c>
      <c r="B641" s="2" t="s">
        <v>15</v>
      </c>
      <c r="C641" s="2" t="s">
        <v>18</v>
      </c>
      <c r="D641" s="2" t="s">
        <v>25</v>
      </c>
      <c r="E641" s="2" t="s">
        <v>31</v>
      </c>
      <c r="F641" s="2" t="s">
        <v>38</v>
      </c>
      <c r="G641" s="3">
        <v>1214809</v>
      </c>
      <c r="H641" s="3">
        <v>963849</v>
      </c>
      <c r="I641" s="2" t="s">
        <v>40</v>
      </c>
      <c r="J641" s="3">
        <f t="shared" si="9"/>
        <v>80320.75</v>
      </c>
    </row>
    <row r="642" spans="1:10" x14ac:dyDescent="0.35">
      <c r="A642" s="2" t="s">
        <v>11</v>
      </c>
      <c r="B642" s="2" t="s">
        <v>17</v>
      </c>
      <c r="C642" s="2" t="s">
        <v>19</v>
      </c>
      <c r="D642" s="2" t="s">
        <v>20</v>
      </c>
      <c r="E642" s="2" t="s">
        <v>31</v>
      </c>
      <c r="F642" s="2" t="s">
        <v>39</v>
      </c>
      <c r="G642" s="3">
        <v>1929899</v>
      </c>
      <c r="H642" s="3">
        <v>1425650</v>
      </c>
      <c r="I642" s="2" t="s">
        <v>11</v>
      </c>
      <c r="J642" s="3">
        <f t="shared" si="9"/>
        <v>118804.16666666667</v>
      </c>
    </row>
    <row r="643" spans="1:10" x14ac:dyDescent="0.35">
      <c r="A643" s="2" t="s">
        <v>14</v>
      </c>
      <c r="B643" s="2" t="s">
        <v>16</v>
      </c>
      <c r="C643" s="2" t="s">
        <v>19</v>
      </c>
      <c r="D643" s="2" t="s">
        <v>23</v>
      </c>
      <c r="E643" s="2" t="s">
        <v>30</v>
      </c>
      <c r="F643" s="2" t="s">
        <v>37</v>
      </c>
      <c r="G643" s="3">
        <v>6956509</v>
      </c>
      <c r="H643" s="3">
        <v>5371864</v>
      </c>
      <c r="I643" s="2" t="s">
        <v>40</v>
      </c>
      <c r="J643" s="3">
        <f t="shared" ref="J643:J706" si="10">H643/12</f>
        <v>447655.33333333331</v>
      </c>
    </row>
    <row r="644" spans="1:10" x14ac:dyDescent="0.35">
      <c r="A644" s="2" t="s">
        <v>14</v>
      </c>
      <c r="B644" s="2" t="s">
        <v>16</v>
      </c>
      <c r="C644" s="2" t="s">
        <v>19</v>
      </c>
      <c r="D644" s="2" t="s">
        <v>20</v>
      </c>
      <c r="E644" s="2" t="s">
        <v>33</v>
      </c>
      <c r="F644" s="2" t="s">
        <v>37</v>
      </c>
      <c r="G644" s="3">
        <v>4502966</v>
      </c>
      <c r="H644" s="3">
        <v>3264738</v>
      </c>
      <c r="I644" s="2" t="s">
        <v>40</v>
      </c>
      <c r="J644" s="3">
        <f t="shared" si="10"/>
        <v>272061.5</v>
      </c>
    </row>
    <row r="645" spans="1:10" x14ac:dyDescent="0.35">
      <c r="A645" s="2" t="s">
        <v>14</v>
      </c>
      <c r="B645" s="2" t="s">
        <v>16</v>
      </c>
      <c r="C645" s="2" t="s">
        <v>18</v>
      </c>
      <c r="D645" s="2" t="s">
        <v>25</v>
      </c>
      <c r="E645" s="2" t="s">
        <v>33</v>
      </c>
      <c r="F645" s="2" t="s">
        <v>37</v>
      </c>
      <c r="G645" s="3">
        <v>6529379</v>
      </c>
      <c r="H645" s="3">
        <v>5018155</v>
      </c>
      <c r="I645" s="2" t="s">
        <v>40</v>
      </c>
      <c r="J645" s="3">
        <f t="shared" si="10"/>
        <v>418179.58333333331</v>
      </c>
    </row>
    <row r="646" spans="1:10" x14ac:dyDescent="0.35">
      <c r="A646" s="2" t="s">
        <v>11</v>
      </c>
      <c r="B646" s="2" t="s">
        <v>17</v>
      </c>
      <c r="C646" s="2" t="s">
        <v>18</v>
      </c>
      <c r="D646" s="2" t="s">
        <v>21</v>
      </c>
      <c r="E646" s="2" t="s">
        <v>34</v>
      </c>
      <c r="F646" s="2" t="s">
        <v>36</v>
      </c>
      <c r="G646" s="3">
        <v>1502533</v>
      </c>
      <c r="H646" s="3">
        <v>1228170</v>
      </c>
      <c r="I646" s="2" t="s">
        <v>11</v>
      </c>
      <c r="J646" s="3">
        <f t="shared" si="10"/>
        <v>102347.5</v>
      </c>
    </row>
    <row r="647" spans="1:10" x14ac:dyDescent="0.35">
      <c r="A647" s="2" t="s">
        <v>10</v>
      </c>
      <c r="B647" s="2" t="s">
        <v>16</v>
      </c>
      <c r="C647" s="2" t="s">
        <v>18</v>
      </c>
      <c r="D647" s="2" t="s">
        <v>24</v>
      </c>
      <c r="E647" s="2" t="s">
        <v>34</v>
      </c>
      <c r="F647" s="2" t="s">
        <v>38</v>
      </c>
      <c r="G647" s="3">
        <v>6300539</v>
      </c>
      <c r="H647" s="3">
        <v>4729693</v>
      </c>
      <c r="I647" s="2" t="s">
        <v>40</v>
      </c>
      <c r="J647" s="3">
        <f t="shared" si="10"/>
        <v>394141.08333333331</v>
      </c>
    </row>
    <row r="648" spans="1:10" x14ac:dyDescent="0.35">
      <c r="A648" s="2" t="s">
        <v>10</v>
      </c>
      <c r="B648" s="2" t="s">
        <v>16</v>
      </c>
      <c r="C648" s="2" t="s">
        <v>19</v>
      </c>
      <c r="D648" s="2" t="s">
        <v>25</v>
      </c>
      <c r="E648" s="2" t="s">
        <v>30</v>
      </c>
      <c r="F648" s="2" t="s">
        <v>39</v>
      </c>
      <c r="G648" s="3">
        <v>4366653</v>
      </c>
      <c r="H648" s="3">
        <v>3454589</v>
      </c>
      <c r="I648" s="2" t="s">
        <v>40</v>
      </c>
      <c r="J648" s="3">
        <f t="shared" si="10"/>
        <v>287882.41666666669</v>
      </c>
    </row>
    <row r="649" spans="1:10" x14ac:dyDescent="0.35">
      <c r="A649" s="2" t="s">
        <v>13</v>
      </c>
      <c r="B649" s="2" t="s">
        <v>16</v>
      </c>
      <c r="C649" s="2" t="s">
        <v>19</v>
      </c>
      <c r="D649" s="2" t="s">
        <v>22</v>
      </c>
      <c r="E649" s="2" t="s">
        <v>32</v>
      </c>
      <c r="F649" s="2" t="s">
        <v>37</v>
      </c>
      <c r="G649" s="3">
        <v>3120973</v>
      </c>
      <c r="H649" s="3">
        <v>2220636</v>
      </c>
      <c r="I649" s="2" t="s">
        <v>9</v>
      </c>
      <c r="J649" s="3">
        <f t="shared" si="10"/>
        <v>185053</v>
      </c>
    </row>
    <row r="650" spans="1:10" x14ac:dyDescent="0.35">
      <c r="A650" s="2" t="s">
        <v>12</v>
      </c>
      <c r="B650" s="2" t="s">
        <v>16</v>
      </c>
      <c r="C650" s="2" t="s">
        <v>19</v>
      </c>
      <c r="D650" s="2" t="s">
        <v>25</v>
      </c>
      <c r="E650" s="2" t="s">
        <v>35</v>
      </c>
      <c r="F650" s="2" t="s">
        <v>37</v>
      </c>
      <c r="G650" s="3">
        <v>3721387</v>
      </c>
      <c r="H650" s="3">
        <v>2983558</v>
      </c>
      <c r="I650" s="2" t="s">
        <v>11</v>
      </c>
      <c r="J650" s="3">
        <f t="shared" si="10"/>
        <v>248629.83333333334</v>
      </c>
    </row>
    <row r="651" spans="1:10" x14ac:dyDescent="0.35">
      <c r="A651" s="2" t="s">
        <v>13</v>
      </c>
      <c r="B651" s="2" t="s">
        <v>17</v>
      </c>
      <c r="C651" s="2" t="s">
        <v>18</v>
      </c>
      <c r="D651" s="2" t="s">
        <v>27</v>
      </c>
      <c r="E651" s="2" t="s">
        <v>35</v>
      </c>
      <c r="F651" s="2" t="s">
        <v>38</v>
      </c>
      <c r="G651" s="3">
        <v>1299897</v>
      </c>
      <c r="H651" s="3">
        <v>934628</v>
      </c>
      <c r="I651" s="2" t="s">
        <v>9</v>
      </c>
      <c r="J651" s="3">
        <f t="shared" si="10"/>
        <v>77885.666666666672</v>
      </c>
    </row>
    <row r="652" spans="1:10" x14ac:dyDescent="0.35">
      <c r="A652" s="2" t="s">
        <v>9</v>
      </c>
      <c r="B652" s="2" t="s">
        <v>15</v>
      </c>
      <c r="C652" s="2" t="s">
        <v>19</v>
      </c>
      <c r="D652" s="2" t="s">
        <v>27</v>
      </c>
      <c r="E652" s="2" t="s">
        <v>31</v>
      </c>
      <c r="F652" s="2" t="s">
        <v>37</v>
      </c>
      <c r="G652" s="3">
        <v>625914</v>
      </c>
      <c r="H652" s="3">
        <v>448113</v>
      </c>
      <c r="I652" s="2" t="s">
        <v>9</v>
      </c>
      <c r="J652" s="3">
        <f t="shared" si="10"/>
        <v>37342.75</v>
      </c>
    </row>
    <row r="653" spans="1:10" x14ac:dyDescent="0.35">
      <c r="A653" s="2" t="s">
        <v>12</v>
      </c>
      <c r="B653" s="2" t="s">
        <v>16</v>
      </c>
      <c r="C653" s="2" t="s">
        <v>19</v>
      </c>
      <c r="D653" s="2" t="s">
        <v>20</v>
      </c>
      <c r="E653" s="2" t="s">
        <v>31</v>
      </c>
      <c r="F653" s="2" t="s">
        <v>36</v>
      </c>
      <c r="G653" s="3">
        <v>3734508</v>
      </c>
      <c r="H653" s="3">
        <v>3045766</v>
      </c>
      <c r="I653" s="2" t="s">
        <v>11</v>
      </c>
      <c r="J653" s="3">
        <f t="shared" si="10"/>
        <v>253813.83333333334</v>
      </c>
    </row>
    <row r="654" spans="1:10" x14ac:dyDescent="0.35">
      <c r="A654" s="2" t="s">
        <v>13</v>
      </c>
      <c r="B654" s="2" t="s">
        <v>16</v>
      </c>
      <c r="C654" s="2" t="s">
        <v>19</v>
      </c>
      <c r="D654" s="2" t="s">
        <v>28</v>
      </c>
      <c r="E654" s="2" t="s">
        <v>29</v>
      </c>
      <c r="F654" s="2" t="s">
        <v>39</v>
      </c>
      <c r="G654" s="3">
        <v>2758196</v>
      </c>
      <c r="H654" s="3">
        <v>2176566</v>
      </c>
      <c r="I654" s="2" t="s">
        <v>9</v>
      </c>
      <c r="J654" s="3">
        <f t="shared" si="10"/>
        <v>181380.5</v>
      </c>
    </row>
    <row r="655" spans="1:10" x14ac:dyDescent="0.35">
      <c r="A655" s="2" t="s">
        <v>14</v>
      </c>
      <c r="B655" s="2" t="s">
        <v>15</v>
      </c>
      <c r="C655" s="2" t="s">
        <v>19</v>
      </c>
      <c r="D655" s="2" t="s">
        <v>27</v>
      </c>
      <c r="E655" s="2" t="s">
        <v>32</v>
      </c>
      <c r="F655" s="2" t="s">
        <v>37</v>
      </c>
      <c r="G655" s="3">
        <v>1306086</v>
      </c>
      <c r="H655" s="3">
        <v>995717</v>
      </c>
      <c r="I655" s="2" t="s">
        <v>40</v>
      </c>
      <c r="J655" s="3">
        <f t="shared" si="10"/>
        <v>82976.416666666672</v>
      </c>
    </row>
    <row r="656" spans="1:10" x14ac:dyDescent="0.35">
      <c r="A656" s="2" t="s">
        <v>9</v>
      </c>
      <c r="B656" s="2" t="s">
        <v>17</v>
      </c>
      <c r="C656" s="2" t="s">
        <v>18</v>
      </c>
      <c r="D656" s="2" t="s">
        <v>27</v>
      </c>
      <c r="E656" s="2" t="s">
        <v>29</v>
      </c>
      <c r="F656" s="2" t="s">
        <v>39</v>
      </c>
      <c r="G656" s="3">
        <v>1619880</v>
      </c>
      <c r="H656" s="3">
        <v>1136793</v>
      </c>
      <c r="I656" s="2" t="s">
        <v>9</v>
      </c>
      <c r="J656" s="3">
        <f t="shared" si="10"/>
        <v>94732.75</v>
      </c>
    </row>
    <row r="657" spans="1:10" x14ac:dyDescent="0.35">
      <c r="A657" s="2" t="s">
        <v>9</v>
      </c>
      <c r="B657" s="2" t="s">
        <v>17</v>
      </c>
      <c r="C657" s="2" t="s">
        <v>19</v>
      </c>
      <c r="D657" s="2" t="s">
        <v>25</v>
      </c>
      <c r="E657" s="2" t="s">
        <v>35</v>
      </c>
      <c r="F657" s="2" t="s">
        <v>36</v>
      </c>
      <c r="G657" s="3">
        <v>1392970</v>
      </c>
      <c r="H657" s="3">
        <v>1003736</v>
      </c>
      <c r="I657" s="2" t="s">
        <v>9</v>
      </c>
      <c r="J657" s="3">
        <f t="shared" si="10"/>
        <v>83644.666666666672</v>
      </c>
    </row>
    <row r="658" spans="1:10" x14ac:dyDescent="0.35">
      <c r="A658" s="2" t="s">
        <v>14</v>
      </c>
      <c r="B658" s="2" t="s">
        <v>15</v>
      </c>
      <c r="C658" s="2" t="s">
        <v>18</v>
      </c>
      <c r="D658" s="2" t="s">
        <v>21</v>
      </c>
      <c r="E658" s="2" t="s">
        <v>29</v>
      </c>
      <c r="F658" s="2" t="s">
        <v>39</v>
      </c>
      <c r="G658" s="3">
        <v>1218594</v>
      </c>
      <c r="H658" s="3">
        <v>968648</v>
      </c>
      <c r="I658" s="2" t="s">
        <v>40</v>
      </c>
      <c r="J658" s="3">
        <f t="shared" si="10"/>
        <v>80720.666666666672</v>
      </c>
    </row>
    <row r="659" spans="1:10" x14ac:dyDescent="0.35">
      <c r="A659" s="2" t="s">
        <v>12</v>
      </c>
      <c r="B659" s="2" t="s">
        <v>17</v>
      </c>
      <c r="C659" s="2" t="s">
        <v>18</v>
      </c>
      <c r="D659" s="2" t="s">
        <v>20</v>
      </c>
      <c r="E659" s="2" t="s">
        <v>34</v>
      </c>
      <c r="F659" s="2" t="s">
        <v>38</v>
      </c>
      <c r="G659" s="3">
        <v>2280467</v>
      </c>
      <c r="H659" s="3">
        <v>1819844</v>
      </c>
      <c r="I659" s="2" t="s">
        <v>11</v>
      </c>
      <c r="J659" s="3">
        <f t="shared" si="10"/>
        <v>151653.66666666666</v>
      </c>
    </row>
    <row r="660" spans="1:10" x14ac:dyDescent="0.35">
      <c r="A660" s="2" t="s">
        <v>13</v>
      </c>
      <c r="B660" s="2" t="s">
        <v>15</v>
      </c>
      <c r="C660" s="2" t="s">
        <v>19</v>
      </c>
      <c r="D660" s="2" t="s">
        <v>27</v>
      </c>
      <c r="E660" s="2" t="s">
        <v>29</v>
      </c>
      <c r="F660" s="2" t="s">
        <v>37</v>
      </c>
      <c r="G660" s="3">
        <v>765698</v>
      </c>
      <c r="H660" s="3">
        <v>567083</v>
      </c>
      <c r="I660" s="2" t="s">
        <v>9</v>
      </c>
      <c r="J660" s="3">
        <f t="shared" si="10"/>
        <v>47256.916666666664</v>
      </c>
    </row>
    <row r="661" spans="1:10" x14ac:dyDescent="0.35">
      <c r="A661" s="2" t="s">
        <v>13</v>
      </c>
      <c r="B661" s="2" t="s">
        <v>17</v>
      </c>
      <c r="C661" s="2" t="s">
        <v>19</v>
      </c>
      <c r="D661" s="2" t="s">
        <v>20</v>
      </c>
      <c r="E661" s="2" t="s">
        <v>33</v>
      </c>
      <c r="F661" s="2" t="s">
        <v>36</v>
      </c>
      <c r="G661" s="3">
        <v>1548718</v>
      </c>
      <c r="H661" s="3">
        <v>1120070</v>
      </c>
      <c r="I661" s="2" t="s">
        <v>9</v>
      </c>
      <c r="J661" s="3">
        <f t="shared" si="10"/>
        <v>93339.166666666672</v>
      </c>
    </row>
    <row r="662" spans="1:10" x14ac:dyDescent="0.35">
      <c r="A662" s="2" t="s">
        <v>12</v>
      </c>
      <c r="B662" s="2" t="s">
        <v>15</v>
      </c>
      <c r="C662" s="2" t="s">
        <v>19</v>
      </c>
      <c r="D662" s="2" t="s">
        <v>20</v>
      </c>
      <c r="E662" s="2" t="s">
        <v>30</v>
      </c>
      <c r="F662" s="2" t="s">
        <v>36</v>
      </c>
      <c r="G662" s="3">
        <v>858131</v>
      </c>
      <c r="H662" s="3">
        <v>677437</v>
      </c>
      <c r="I662" s="2" t="s">
        <v>11</v>
      </c>
      <c r="J662" s="3">
        <f t="shared" si="10"/>
        <v>56453.083333333336</v>
      </c>
    </row>
    <row r="663" spans="1:10" x14ac:dyDescent="0.35">
      <c r="A663" s="2" t="s">
        <v>10</v>
      </c>
      <c r="B663" s="2" t="s">
        <v>17</v>
      </c>
      <c r="C663" s="2" t="s">
        <v>19</v>
      </c>
      <c r="D663" s="2" t="s">
        <v>23</v>
      </c>
      <c r="E663" s="2" t="s">
        <v>34</v>
      </c>
      <c r="F663" s="2" t="s">
        <v>36</v>
      </c>
      <c r="G663" s="3">
        <v>2868502</v>
      </c>
      <c r="H663" s="3">
        <v>2249922</v>
      </c>
      <c r="I663" s="2" t="s">
        <v>40</v>
      </c>
      <c r="J663" s="3">
        <f t="shared" si="10"/>
        <v>187493.5</v>
      </c>
    </row>
    <row r="664" spans="1:10" x14ac:dyDescent="0.35">
      <c r="A664" s="2" t="s">
        <v>11</v>
      </c>
      <c r="B664" s="2" t="s">
        <v>17</v>
      </c>
      <c r="C664" s="2" t="s">
        <v>19</v>
      </c>
      <c r="D664" s="2" t="s">
        <v>28</v>
      </c>
      <c r="E664" s="2" t="s">
        <v>29</v>
      </c>
      <c r="F664" s="2" t="s">
        <v>38</v>
      </c>
      <c r="G664" s="3">
        <v>1214493</v>
      </c>
      <c r="H664" s="3">
        <v>917775</v>
      </c>
      <c r="I664" s="2" t="s">
        <v>11</v>
      </c>
      <c r="J664" s="3">
        <f t="shared" si="10"/>
        <v>76481.25</v>
      </c>
    </row>
    <row r="665" spans="1:10" x14ac:dyDescent="0.35">
      <c r="A665" s="2" t="s">
        <v>12</v>
      </c>
      <c r="B665" s="2" t="s">
        <v>16</v>
      </c>
      <c r="C665" s="2" t="s">
        <v>18</v>
      </c>
      <c r="D665" s="2" t="s">
        <v>28</v>
      </c>
      <c r="E665" s="2" t="s">
        <v>32</v>
      </c>
      <c r="F665" s="2" t="s">
        <v>37</v>
      </c>
      <c r="G665" s="3">
        <v>3971992</v>
      </c>
      <c r="H665" s="3">
        <v>2798486</v>
      </c>
      <c r="I665" s="2" t="s">
        <v>11</v>
      </c>
      <c r="J665" s="3">
        <f t="shared" si="10"/>
        <v>233207.16666666666</v>
      </c>
    </row>
    <row r="666" spans="1:10" x14ac:dyDescent="0.35">
      <c r="A666" s="2" t="s">
        <v>13</v>
      </c>
      <c r="B666" s="2" t="s">
        <v>15</v>
      </c>
      <c r="C666" s="2" t="s">
        <v>18</v>
      </c>
      <c r="D666" s="2" t="s">
        <v>23</v>
      </c>
      <c r="E666" s="2" t="s">
        <v>31</v>
      </c>
      <c r="F666" s="2" t="s">
        <v>36</v>
      </c>
      <c r="G666" s="3">
        <v>500272</v>
      </c>
      <c r="H666" s="3">
        <v>378045</v>
      </c>
      <c r="I666" s="2" t="s">
        <v>9</v>
      </c>
      <c r="J666" s="3">
        <f t="shared" si="10"/>
        <v>31503.75</v>
      </c>
    </row>
    <row r="667" spans="1:10" x14ac:dyDescent="0.35">
      <c r="A667" s="2" t="s">
        <v>11</v>
      </c>
      <c r="B667" s="2" t="s">
        <v>17</v>
      </c>
      <c r="C667" s="2" t="s">
        <v>18</v>
      </c>
      <c r="D667" s="2" t="s">
        <v>25</v>
      </c>
      <c r="E667" s="2" t="s">
        <v>34</v>
      </c>
      <c r="F667" s="2" t="s">
        <v>36</v>
      </c>
      <c r="G667" s="3">
        <v>2144724</v>
      </c>
      <c r="H667" s="3">
        <v>1522155</v>
      </c>
      <c r="I667" s="2" t="s">
        <v>11</v>
      </c>
      <c r="J667" s="3">
        <f t="shared" si="10"/>
        <v>126846.25</v>
      </c>
    </row>
    <row r="668" spans="1:10" x14ac:dyDescent="0.35">
      <c r="A668" s="2" t="s">
        <v>9</v>
      </c>
      <c r="B668" s="2" t="s">
        <v>17</v>
      </c>
      <c r="C668" s="2" t="s">
        <v>18</v>
      </c>
      <c r="D668" s="2" t="s">
        <v>24</v>
      </c>
      <c r="E668" s="2" t="s">
        <v>30</v>
      </c>
      <c r="F668" s="2" t="s">
        <v>36</v>
      </c>
      <c r="G668" s="3">
        <v>972658</v>
      </c>
      <c r="H668" s="3">
        <v>761264</v>
      </c>
      <c r="I668" s="2" t="s">
        <v>9</v>
      </c>
      <c r="J668" s="3">
        <f t="shared" si="10"/>
        <v>63438.666666666664</v>
      </c>
    </row>
    <row r="669" spans="1:10" x14ac:dyDescent="0.35">
      <c r="A669" s="2" t="s">
        <v>9</v>
      </c>
      <c r="B669" s="2" t="s">
        <v>17</v>
      </c>
      <c r="C669" s="2" t="s">
        <v>18</v>
      </c>
      <c r="D669" s="2" t="s">
        <v>26</v>
      </c>
      <c r="E669" s="2" t="s">
        <v>29</v>
      </c>
      <c r="F669" s="2" t="s">
        <v>39</v>
      </c>
      <c r="G669" s="3">
        <v>1289078</v>
      </c>
      <c r="H669" s="3">
        <v>908456</v>
      </c>
      <c r="I669" s="2" t="s">
        <v>9</v>
      </c>
      <c r="J669" s="3">
        <f t="shared" si="10"/>
        <v>75704.666666666672</v>
      </c>
    </row>
    <row r="670" spans="1:10" x14ac:dyDescent="0.35">
      <c r="A670" s="2" t="s">
        <v>11</v>
      </c>
      <c r="B670" s="2" t="s">
        <v>16</v>
      </c>
      <c r="C670" s="2" t="s">
        <v>19</v>
      </c>
      <c r="D670" s="2" t="s">
        <v>28</v>
      </c>
      <c r="E670" s="2" t="s">
        <v>29</v>
      </c>
      <c r="F670" s="2" t="s">
        <v>38</v>
      </c>
      <c r="G670" s="3">
        <v>5321440</v>
      </c>
      <c r="H670" s="3">
        <v>4066883</v>
      </c>
      <c r="I670" s="2" t="s">
        <v>11</v>
      </c>
      <c r="J670" s="3">
        <f t="shared" si="10"/>
        <v>338906.91666666669</v>
      </c>
    </row>
    <row r="671" spans="1:10" x14ac:dyDescent="0.35">
      <c r="A671" s="2" t="s">
        <v>13</v>
      </c>
      <c r="B671" s="2" t="s">
        <v>16</v>
      </c>
      <c r="C671" s="2" t="s">
        <v>18</v>
      </c>
      <c r="D671" s="2" t="s">
        <v>20</v>
      </c>
      <c r="E671" s="2" t="s">
        <v>30</v>
      </c>
      <c r="F671" s="2" t="s">
        <v>39</v>
      </c>
      <c r="G671" s="3">
        <v>4426031</v>
      </c>
      <c r="H671" s="3">
        <v>3422819</v>
      </c>
      <c r="I671" s="2" t="s">
        <v>9</v>
      </c>
      <c r="J671" s="3">
        <f t="shared" si="10"/>
        <v>285234.91666666669</v>
      </c>
    </row>
    <row r="672" spans="1:10" x14ac:dyDescent="0.35">
      <c r="A672" s="2" t="s">
        <v>10</v>
      </c>
      <c r="B672" s="2" t="s">
        <v>16</v>
      </c>
      <c r="C672" s="2" t="s">
        <v>19</v>
      </c>
      <c r="D672" s="2" t="s">
        <v>25</v>
      </c>
      <c r="E672" s="2" t="s">
        <v>35</v>
      </c>
      <c r="F672" s="2" t="s">
        <v>38</v>
      </c>
      <c r="G672" s="3">
        <v>5891684</v>
      </c>
      <c r="H672" s="3">
        <v>4514547</v>
      </c>
      <c r="I672" s="2" t="s">
        <v>40</v>
      </c>
      <c r="J672" s="3">
        <f t="shared" si="10"/>
        <v>376212.25</v>
      </c>
    </row>
    <row r="673" spans="1:10" x14ac:dyDescent="0.35">
      <c r="A673" s="2" t="s">
        <v>14</v>
      </c>
      <c r="B673" s="2" t="s">
        <v>15</v>
      </c>
      <c r="C673" s="2" t="s">
        <v>18</v>
      </c>
      <c r="D673" s="2" t="s">
        <v>27</v>
      </c>
      <c r="E673" s="2" t="s">
        <v>29</v>
      </c>
      <c r="F673" s="2" t="s">
        <v>36</v>
      </c>
      <c r="G673" s="3">
        <v>1199211</v>
      </c>
      <c r="H673" s="3">
        <v>908772</v>
      </c>
      <c r="I673" s="2" t="s">
        <v>40</v>
      </c>
      <c r="J673" s="3">
        <f t="shared" si="10"/>
        <v>75731</v>
      </c>
    </row>
    <row r="674" spans="1:10" x14ac:dyDescent="0.35">
      <c r="A674" s="2" t="s">
        <v>12</v>
      </c>
      <c r="B674" s="2" t="s">
        <v>16</v>
      </c>
      <c r="C674" s="2" t="s">
        <v>18</v>
      </c>
      <c r="D674" s="2" t="s">
        <v>20</v>
      </c>
      <c r="E674" s="2" t="s">
        <v>35</v>
      </c>
      <c r="F674" s="2" t="s">
        <v>39</v>
      </c>
      <c r="G674" s="3">
        <v>2829386</v>
      </c>
      <c r="H674" s="3">
        <v>2043830</v>
      </c>
      <c r="I674" s="2" t="s">
        <v>11</v>
      </c>
      <c r="J674" s="3">
        <f t="shared" si="10"/>
        <v>170319.16666666666</v>
      </c>
    </row>
    <row r="675" spans="1:10" x14ac:dyDescent="0.35">
      <c r="A675" s="2" t="s">
        <v>11</v>
      </c>
      <c r="B675" s="2" t="s">
        <v>16</v>
      </c>
      <c r="C675" s="2" t="s">
        <v>19</v>
      </c>
      <c r="D675" s="2" t="s">
        <v>21</v>
      </c>
      <c r="E675" s="2" t="s">
        <v>30</v>
      </c>
      <c r="F675" s="2" t="s">
        <v>37</v>
      </c>
      <c r="G675" s="3">
        <v>2717357</v>
      </c>
      <c r="H675" s="3">
        <v>2154662</v>
      </c>
      <c r="I675" s="2" t="s">
        <v>11</v>
      </c>
      <c r="J675" s="3">
        <f t="shared" si="10"/>
        <v>179555.16666666666</v>
      </c>
    </row>
    <row r="676" spans="1:10" x14ac:dyDescent="0.35">
      <c r="A676" s="2" t="s">
        <v>9</v>
      </c>
      <c r="B676" s="2" t="s">
        <v>16</v>
      </c>
      <c r="C676" s="2" t="s">
        <v>18</v>
      </c>
      <c r="D676" s="2" t="s">
        <v>26</v>
      </c>
      <c r="E676" s="2" t="s">
        <v>35</v>
      </c>
      <c r="F676" s="2" t="s">
        <v>39</v>
      </c>
      <c r="G676" s="3">
        <v>2469282</v>
      </c>
      <c r="H676" s="3">
        <v>1987784</v>
      </c>
      <c r="I676" s="2" t="s">
        <v>9</v>
      </c>
      <c r="J676" s="3">
        <f t="shared" si="10"/>
        <v>165648.66666666666</v>
      </c>
    </row>
    <row r="677" spans="1:10" x14ac:dyDescent="0.35">
      <c r="A677" s="2" t="s">
        <v>12</v>
      </c>
      <c r="B677" s="2" t="s">
        <v>17</v>
      </c>
      <c r="C677" s="2" t="s">
        <v>19</v>
      </c>
      <c r="D677" s="2" t="s">
        <v>25</v>
      </c>
      <c r="E677" s="2" t="s">
        <v>30</v>
      </c>
      <c r="F677" s="2" t="s">
        <v>37</v>
      </c>
      <c r="G677" s="3">
        <v>2497894</v>
      </c>
      <c r="H677" s="3">
        <v>1858965</v>
      </c>
      <c r="I677" s="2" t="s">
        <v>11</v>
      </c>
      <c r="J677" s="3">
        <f t="shared" si="10"/>
        <v>154913.75</v>
      </c>
    </row>
    <row r="678" spans="1:10" x14ac:dyDescent="0.35">
      <c r="A678" s="2" t="s">
        <v>13</v>
      </c>
      <c r="B678" s="2" t="s">
        <v>15</v>
      </c>
      <c r="C678" s="2" t="s">
        <v>19</v>
      </c>
      <c r="D678" s="2" t="s">
        <v>22</v>
      </c>
      <c r="E678" s="2" t="s">
        <v>30</v>
      </c>
      <c r="F678" s="2" t="s">
        <v>38</v>
      </c>
      <c r="G678" s="3">
        <v>519521</v>
      </c>
      <c r="H678" s="3">
        <v>364664</v>
      </c>
      <c r="I678" s="2" t="s">
        <v>9</v>
      </c>
      <c r="J678" s="3">
        <f t="shared" si="10"/>
        <v>30388.666666666668</v>
      </c>
    </row>
    <row r="679" spans="1:10" x14ac:dyDescent="0.35">
      <c r="A679" s="2" t="s">
        <v>13</v>
      </c>
      <c r="B679" s="2" t="s">
        <v>17</v>
      </c>
      <c r="C679" s="2" t="s">
        <v>18</v>
      </c>
      <c r="D679" s="2" t="s">
        <v>25</v>
      </c>
      <c r="E679" s="2" t="s">
        <v>35</v>
      </c>
      <c r="F679" s="2" t="s">
        <v>38</v>
      </c>
      <c r="G679" s="3">
        <v>1795317</v>
      </c>
      <c r="H679" s="3">
        <v>1272906</v>
      </c>
      <c r="I679" s="2" t="s">
        <v>9</v>
      </c>
      <c r="J679" s="3">
        <f t="shared" si="10"/>
        <v>106075.5</v>
      </c>
    </row>
    <row r="680" spans="1:10" x14ac:dyDescent="0.35">
      <c r="A680" s="2" t="s">
        <v>10</v>
      </c>
      <c r="B680" s="2" t="s">
        <v>17</v>
      </c>
      <c r="C680" s="2" t="s">
        <v>18</v>
      </c>
      <c r="D680" s="2" t="s">
        <v>25</v>
      </c>
      <c r="E680" s="2" t="s">
        <v>31</v>
      </c>
      <c r="F680" s="2" t="s">
        <v>37</v>
      </c>
      <c r="G680" s="3">
        <v>2185270</v>
      </c>
      <c r="H680" s="3">
        <v>1656970</v>
      </c>
      <c r="I680" s="2" t="s">
        <v>40</v>
      </c>
      <c r="J680" s="3">
        <f t="shared" si="10"/>
        <v>138080.83333333334</v>
      </c>
    </row>
    <row r="681" spans="1:10" x14ac:dyDescent="0.35">
      <c r="A681" s="2" t="s">
        <v>11</v>
      </c>
      <c r="B681" s="2" t="s">
        <v>17</v>
      </c>
      <c r="C681" s="2" t="s">
        <v>18</v>
      </c>
      <c r="D681" s="2" t="s">
        <v>21</v>
      </c>
      <c r="E681" s="2" t="s">
        <v>33</v>
      </c>
      <c r="F681" s="2" t="s">
        <v>39</v>
      </c>
      <c r="G681" s="3">
        <v>1510220</v>
      </c>
      <c r="H681" s="3">
        <v>1119466</v>
      </c>
      <c r="I681" s="2" t="s">
        <v>11</v>
      </c>
      <c r="J681" s="3">
        <f t="shared" si="10"/>
        <v>93288.833333333328</v>
      </c>
    </row>
    <row r="682" spans="1:10" x14ac:dyDescent="0.35">
      <c r="A682" s="2" t="s">
        <v>12</v>
      </c>
      <c r="B682" s="2" t="s">
        <v>15</v>
      </c>
      <c r="C682" s="2" t="s">
        <v>19</v>
      </c>
      <c r="D682" s="2" t="s">
        <v>24</v>
      </c>
      <c r="E682" s="2" t="s">
        <v>29</v>
      </c>
      <c r="F682" s="2" t="s">
        <v>37</v>
      </c>
      <c r="G682" s="3">
        <v>1104120</v>
      </c>
      <c r="H682" s="3">
        <v>834512</v>
      </c>
      <c r="I682" s="2" t="s">
        <v>11</v>
      </c>
      <c r="J682" s="3">
        <f t="shared" si="10"/>
        <v>69542.666666666672</v>
      </c>
    </row>
    <row r="683" spans="1:10" x14ac:dyDescent="0.35">
      <c r="A683" s="2" t="s">
        <v>9</v>
      </c>
      <c r="B683" s="2" t="s">
        <v>16</v>
      </c>
      <c r="C683" s="2" t="s">
        <v>19</v>
      </c>
      <c r="D683" s="2" t="s">
        <v>27</v>
      </c>
      <c r="E683" s="2" t="s">
        <v>35</v>
      </c>
      <c r="F683" s="2" t="s">
        <v>36</v>
      </c>
      <c r="G683" s="3">
        <v>2353805</v>
      </c>
      <c r="H683" s="3">
        <v>1740826</v>
      </c>
      <c r="I683" s="2" t="s">
        <v>9</v>
      </c>
      <c r="J683" s="3">
        <f t="shared" si="10"/>
        <v>145068.83333333334</v>
      </c>
    </row>
    <row r="684" spans="1:10" x14ac:dyDescent="0.35">
      <c r="A684" s="2" t="s">
        <v>12</v>
      </c>
      <c r="B684" s="2" t="s">
        <v>17</v>
      </c>
      <c r="C684" s="2" t="s">
        <v>18</v>
      </c>
      <c r="D684" s="2" t="s">
        <v>25</v>
      </c>
      <c r="E684" s="2" t="s">
        <v>34</v>
      </c>
      <c r="F684" s="2" t="s">
        <v>36</v>
      </c>
      <c r="G684" s="3">
        <v>2381273</v>
      </c>
      <c r="H684" s="3">
        <v>1711320</v>
      </c>
      <c r="I684" s="2" t="s">
        <v>11</v>
      </c>
      <c r="J684" s="3">
        <f t="shared" si="10"/>
        <v>142610</v>
      </c>
    </row>
    <row r="685" spans="1:10" x14ac:dyDescent="0.35">
      <c r="A685" s="2" t="s">
        <v>14</v>
      </c>
      <c r="B685" s="2" t="s">
        <v>15</v>
      </c>
      <c r="C685" s="2" t="s">
        <v>18</v>
      </c>
      <c r="D685" s="2" t="s">
        <v>25</v>
      </c>
      <c r="E685" s="2" t="s">
        <v>33</v>
      </c>
      <c r="F685" s="2" t="s">
        <v>36</v>
      </c>
      <c r="G685" s="3">
        <v>656074</v>
      </c>
      <c r="H685" s="3">
        <v>530419</v>
      </c>
      <c r="I685" s="2" t="s">
        <v>40</v>
      </c>
      <c r="J685" s="3">
        <f t="shared" si="10"/>
        <v>44201.583333333336</v>
      </c>
    </row>
    <row r="686" spans="1:10" x14ac:dyDescent="0.35">
      <c r="A686" s="2" t="s">
        <v>14</v>
      </c>
      <c r="B686" s="2" t="s">
        <v>15</v>
      </c>
      <c r="C686" s="2" t="s">
        <v>19</v>
      </c>
      <c r="D686" s="2" t="s">
        <v>26</v>
      </c>
      <c r="E686" s="2" t="s">
        <v>29</v>
      </c>
      <c r="F686" s="2" t="s">
        <v>37</v>
      </c>
      <c r="G686" s="3">
        <v>1119937</v>
      </c>
      <c r="H686" s="3">
        <v>839720</v>
      </c>
      <c r="I686" s="2" t="s">
        <v>40</v>
      </c>
      <c r="J686" s="3">
        <f t="shared" si="10"/>
        <v>69976.666666666672</v>
      </c>
    </row>
    <row r="687" spans="1:10" x14ac:dyDescent="0.35">
      <c r="A687" s="2" t="s">
        <v>13</v>
      </c>
      <c r="B687" s="2" t="s">
        <v>16</v>
      </c>
      <c r="C687" s="2" t="s">
        <v>18</v>
      </c>
      <c r="D687" s="2" t="s">
        <v>25</v>
      </c>
      <c r="E687" s="2" t="s">
        <v>35</v>
      </c>
      <c r="F687" s="2" t="s">
        <v>36</v>
      </c>
      <c r="G687" s="3">
        <v>4744095</v>
      </c>
      <c r="H687" s="3">
        <v>3469515</v>
      </c>
      <c r="I687" s="2" t="s">
        <v>9</v>
      </c>
      <c r="J687" s="3">
        <f t="shared" si="10"/>
        <v>289126.25</v>
      </c>
    </row>
    <row r="688" spans="1:10" x14ac:dyDescent="0.35">
      <c r="A688" s="2" t="s">
        <v>10</v>
      </c>
      <c r="B688" s="2" t="s">
        <v>16</v>
      </c>
      <c r="C688" s="2" t="s">
        <v>19</v>
      </c>
      <c r="D688" s="2" t="s">
        <v>26</v>
      </c>
      <c r="E688" s="2" t="s">
        <v>32</v>
      </c>
      <c r="F688" s="2" t="s">
        <v>36</v>
      </c>
      <c r="G688" s="3">
        <v>6633645</v>
      </c>
      <c r="H688" s="3">
        <v>5120847</v>
      </c>
      <c r="I688" s="2" t="s">
        <v>40</v>
      </c>
      <c r="J688" s="3">
        <f t="shared" si="10"/>
        <v>426737.25</v>
      </c>
    </row>
    <row r="689" spans="1:10" x14ac:dyDescent="0.35">
      <c r="A689" s="2" t="s">
        <v>12</v>
      </c>
      <c r="B689" s="2" t="s">
        <v>16</v>
      </c>
      <c r="C689" s="2" t="s">
        <v>19</v>
      </c>
      <c r="D689" s="2" t="s">
        <v>25</v>
      </c>
      <c r="E689" s="2" t="s">
        <v>33</v>
      </c>
      <c r="F689" s="2" t="s">
        <v>38</v>
      </c>
      <c r="G689" s="3">
        <v>2888285</v>
      </c>
      <c r="H689" s="3">
        <v>2058454</v>
      </c>
      <c r="I689" s="2" t="s">
        <v>11</v>
      </c>
      <c r="J689" s="3">
        <f t="shared" si="10"/>
        <v>171537.83333333334</v>
      </c>
    </row>
    <row r="690" spans="1:10" x14ac:dyDescent="0.35">
      <c r="A690" s="2" t="s">
        <v>12</v>
      </c>
      <c r="B690" s="2" t="s">
        <v>16</v>
      </c>
      <c r="C690" s="2" t="s">
        <v>18</v>
      </c>
      <c r="D690" s="2" t="s">
        <v>23</v>
      </c>
      <c r="E690" s="2" t="s">
        <v>35</v>
      </c>
      <c r="F690" s="2" t="s">
        <v>39</v>
      </c>
      <c r="G690" s="3">
        <v>4368879</v>
      </c>
      <c r="H690" s="3">
        <v>3299195</v>
      </c>
      <c r="I690" s="2" t="s">
        <v>11</v>
      </c>
      <c r="J690" s="3">
        <f t="shared" si="10"/>
        <v>274932.91666666669</v>
      </c>
    </row>
    <row r="691" spans="1:10" x14ac:dyDescent="0.35">
      <c r="A691" s="2" t="s">
        <v>11</v>
      </c>
      <c r="B691" s="2" t="s">
        <v>15</v>
      </c>
      <c r="C691" s="2" t="s">
        <v>19</v>
      </c>
      <c r="D691" s="2" t="s">
        <v>23</v>
      </c>
      <c r="E691" s="2" t="s">
        <v>35</v>
      </c>
      <c r="F691" s="2" t="s">
        <v>38</v>
      </c>
      <c r="G691" s="3">
        <v>575272</v>
      </c>
      <c r="H691" s="3">
        <v>445628</v>
      </c>
      <c r="I691" s="2" t="s">
        <v>11</v>
      </c>
      <c r="J691" s="3">
        <f t="shared" si="10"/>
        <v>37135.666666666664</v>
      </c>
    </row>
    <row r="692" spans="1:10" x14ac:dyDescent="0.35">
      <c r="A692" s="2" t="s">
        <v>12</v>
      </c>
      <c r="B692" s="2" t="s">
        <v>17</v>
      </c>
      <c r="C692" s="2" t="s">
        <v>19</v>
      </c>
      <c r="D692" s="2" t="s">
        <v>25</v>
      </c>
      <c r="E692" s="2" t="s">
        <v>34</v>
      </c>
      <c r="F692" s="2" t="s">
        <v>37</v>
      </c>
      <c r="G692" s="3">
        <v>2356744</v>
      </c>
      <c r="H692" s="3">
        <v>1893332</v>
      </c>
      <c r="I692" s="2" t="s">
        <v>11</v>
      </c>
      <c r="J692" s="3">
        <f t="shared" si="10"/>
        <v>157777.66666666666</v>
      </c>
    </row>
    <row r="693" spans="1:10" x14ac:dyDescent="0.35">
      <c r="A693" s="2" t="s">
        <v>10</v>
      </c>
      <c r="B693" s="2" t="s">
        <v>17</v>
      </c>
      <c r="C693" s="2" t="s">
        <v>19</v>
      </c>
      <c r="D693" s="2" t="s">
        <v>22</v>
      </c>
      <c r="E693" s="2" t="s">
        <v>31</v>
      </c>
      <c r="F693" s="2" t="s">
        <v>39</v>
      </c>
      <c r="G693" s="3">
        <v>1739992</v>
      </c>
      <c r="H693" s="3">
        <v>1378560</v>
      </c>
      <c r="I693" s="2" t="s">
        <v>40</v>
      </c>
      <c r="J693" s="3">
        <f t="shared" si="10"/>
        <v>114880</v>
      </c>
    </row>
    <row r="694" spans="1:10" x14ac:dyDescent="0.35">
      <c r="A694" s="2" t="s">
        <v>14</v>
      </c>
      <c r="B694" s="2" t="s">
        <v>15</v>
      </c>
      <c r="C694" s="2" t="s">
        <v>19</v>
      </c>
      <c r="D694" s="2" t="s">
        <v>27</v>
      </c>
      <c r="E694" s="2" t="s">
        <v>31</v>
      </c>
      <c r="F694" s="2" t="s">
        <v>37</v>
      </c>
      <c r="G694" s="3">
        <v>1205706</v>
      </c>
      <c r="H694" s="3">
        <v>857833</v>
      </c>
      <c r="I694" s="2" t="s">
        <v>40</v>
      </c>
      <c r="J694" s="3">
        <f t="shared" si="10"/>
        <v>71486.083333333328</v>
      </c>
    </row>
    <row r="695" spans="1:10" x14ac:dyDescent="0.35">
      <c r="A695" s="2" t="s">
        <v>11</v>
      </c>
      <c r="B695" s="2" t="s">
        <v>15</v>
      </c>
      <c r="C695" s="2" t="s">
        <v>19</v>
      </c>
      <c r="D695" s="2" t="s">
        <v>26</v>
      </c>
      <c r="E695" s="2" t="s">
        <v>34</v>
      </c>
      <c r="F695" s="2" t="s">
        <v>39</v>
      </c>
      <c r="G695" s="3">
        <v>968889</v>
      </c>
      <c r="H695" s="3">
        <v>711259</v>
      </c>
      <c r="I695" s="2" t="s">
        <v>11</v>
      </c>
      <c r="J695" s="3">
        <f t="shared" si="10"/>
        <v>59271.583333333336</v>
      </c>
    </row>
    <row r="696" spans="1:10" x14ac:dyDescent="0.35">
      <c r="A696" s="2" t="s">
        <v>10</v>
      </c>
      <c r="B696" s="2" t="s">
        <v>15</v>
      </c>
      <c r="C696" s="2" t="s">
        <v>19</v>
      </c>
      <c r="D696" s="2" t="s">
        <v>24</v>
      </c>
      <c r="E696" s="2" t="s">
        <v>35</v>
      </c>
      <c r="F696" s="2" t="s">
        <v>36</v>
      </c>
      <c r="G696" s="3">
        <v>1020917</v>
      </c>
      <c r="H696" s="3">
        <v>804108</v>
      </c>
      <c r="I696" s="2" t="s">
        <v>40</v>
      </c>
      <c r="J696" s="3">
        <f t="shared" si="10"/>
        <v>67009</v>
      </c>
    </row>
    <row r="697" spans="1:10" x14ac:dyDescent="0.35">
      <c r="A697" s="2" t="s">
        <v>11</v>
      </c>
      <c r="B697" s="2" t="s">
        <v>15</v>
      </c>
      <c r="C697" s="2" t="s">
        <v>18</v>
      </c>
      <c r="D697" s="2" t="s">
        <v>25</v>
      </c>
      <c r="E697" s="2" t="s">
        <v>32</v>
      </c>
      <c r="F697" s="2" t="s">
        <v>36</v>
      </c>
      <c r="G697" s="3">
        <v>1099428</v>
      </c>
      <c r="H697" s="3">
        <v>794560</v>
      </c>
      <c r="I697" s="2" t="s">
        <v>11</v>
      </c>
      <c r="J697" s="3">
        <f t="shared" si="10"/>
        <v>66213.333333333328</v>
      </c>
    </row>
    <row r="698" spans="1:10" x14ac:dyDescent="0.35">
      <c r="A698" s="2" t="s">
        <v>9</v>
      </c>
      <c r="B698" s="2" t="s">
        <v>15</v>
      </c>
      <c r="C698" s="2" t="s">
        <v>18</v>
      </c>
      <c r="D698" s="2" t="s">
        <v>24</v>
      </c>
      <c r="E698" s="2" t="s">
        <v>30</v>
      </c>
      <c r="F698" s="2" t="s">
        <v>36</v>
      </c>
      <c r="G698" s="3">
        <v>638972</v>
      </c>
      <c r="H698" s="3">
        <v>480863</v>
      </c>
      <c r="I698" s="2" t="s">
        <v>9</v>
      </c>
      <c r="J698" s="3">
        <f t="shared" si="10"/>
        <v>40071.916666666664</v>
      </c>
    </row>
    <row r="699" spans="1:10" x14ac:dyDescent="0.35">
      <c r="A699" s="2" t="s">
        <v>12</v>
      </c>
      <c r="B699" s="2" t="s">
        <v>15</v>
      </c>
      <c r="C699" s="2" t="s">
        <v>18</v>
      </c>
      <c r="D699" s="2" t="s">
        <v>25</v>
      </c>
      <c r="E699" s="2" t="s">
        <v>35</v>
      </c>
      <c r="F699" s="2" t="s">
        <v>36</v>
      </c>
      <c r="G699" s="3">
        <v>772247</v>
      </c>
      <c r="H699" s="3">
        <v>601327</v>
      </c>
      <c r="I699" s="2" t="s">
        <v>11</v>
      </c>
      <c r="J699" s="3">
        <f t="shared" si="10"/>
        <v>50110.583333333336</v>
      </c>
    </row>
    <row r="700" spans="1:10" x14ac:dyDescent="0.35">
      <c r="A700" s="2" t="s">
        <v>12</v>
      </c>
      <c r="B700" s="2" t="s">
        <v>16</v>
      </c>
      <c r="C700" s="2" t="s">
        <v>19</v>
      </c>
      <c r="D700" s="2" t="s">
        <v>20</v>
      </c>
      <c r="E700" s="2" t="s">
        <v>30</v>
      </c>
      <c r="F700" s="2" t="s">
        <v>39</v>
      </c>
      <c r="G700" s="3">
        <v>3185760</v>
      </c>
      <c r="H700" s="3">
        <v>2577846</v>
      </c>
      <c r="I700" s="2" t="s">
        <v>11</v>
      </c>
      <c r="J700" s="3">
        <f t="shared" si="10"/>
        <v>214820.5</v>
      </c>
    </row>
    <row r="701" spans="1:10" x14ac:dyDescent="0.35">
      <c r="A701" s="2" t="s">
        <v>12</v>
      </c>
      <c r="B701" s="2" t="s">
        <v>15</v>
      </c>
      <c r="C701" s="2" t="s">
        <v>19</v>
      </c>
      <c r="D701" s="2" t="s">
        <v>22</v>
      </c>
      <c r="E701" s="2" t="s">
        <v>33</v>
      </c>
      <c r="F701" s="2" t="s">
        <v>39</v>
      </c>
      <c r="G701" s="3">
        <v>831384</v>
      </c>
      <c r="H701" s="3">
        <v>621980</v>
      </c>
      <c r="I701" s="2" t="s">
        <v>11</v>
      </c>
      <c r="J701" s="3">
        <f t="shared" si="10"/>
        <v>51831.666666666664</v>
      </c>
    </row>
    <row r="702" spans="1:10" x14ac:dyDescent="0.35">
      <c r="A702" s="2" t="s">
        <v>10</v>
      </c>
      <c r="B702" s="2" t="s">
        <v>15</v>
      </c>
      <c r="C702" s="2" t="s">
        <v>18</v>
      </c>
      <c r="D702" s="2" t="s">
        <v>20</v>
      </c>
      <c r="E702" s="2" t="s">
        <v>33</v>
      </c>
      <c r="F702" s="2" t="s">
        <v>37</v>
      </c>
      <c r="G702" s="3">
        <v>1279329</v>
      </c>
      <c r="H702" s="3">
        <v>972207</v>
      </c>
      <c r="I702" s="2" t="s">
        <v>40</v>
      </c>
      <c r="J702" s="3">
        <f t="shared" si="10"/>
        <v>81017.25</v>
      </c>
    </row>
    <row r="703" spans="1:10" x14ac:dyDescent="0.35">
      <c r="A703" s="2" t="s">
        <v>13</v>
      </c>
      <c r="B703" s="2" t="s">
        <v>17</v>
      </c>
      <c r="C703" s="2" t="s">
        <v>18</v>
      </c>
      <c r="D703" s="2" t="s">
        <v>28</v>
      </c>
      <c r="E703" s="2" t="s">
        <v>35</v>
      </c>
      <c r="F703" s="2" t="s">
        <v>38</v>
      </c>
      <c r="G703" s="3">
        <v>1590239</v>
      </c>
      <c r="H703" s="3">
        <v>1188682</v>
      </c>
      <c r="I703" s="2" t="s">
        <v>9</v>
      </c>
      <c r="J703" s="3">
        <f t="shared" si="10"/>
        <v>99056.833333333328</v>
      </c>
    </row>
    <row r="704" spans="1:10" x14ac:dyDescent="0.35">
      <c r="A704" s="2" t="s">
        <v>13</v>
      </c>
      <c r="B704" s="2" t="s">
        <v>15</v>
      </c>
      <c r="C704" s="2" t="s">
        <v>18</v>
      </c>
      <c r="D704" s="2" t="s">
        <v>23</v>
      </c>
      <c r="E704" s="2" t="s">
        <v>35</v>
      </c>
      <c r="F704" s="2" t="s">
        <v>36</v>
      </c>
      <c r="G704" s="3">
        <v>733641</v>
      </c>
      <c r="H704" s="3">
        <v>571169</v>
      </c>
      <c r="I704" s="2" t="s">
        <v>9</v>
      </c>
      <c r="J704" s="3">
        <f t="shared" si="10"/>
        <v>47597.416666666664</v>
      </c>
    </row>
    <row r="705" spans="1:10" x14ac:dyDescent="0.35">
      <c r="A705" s="2" t="s">
        <v>12</v>
      </c>
      <c r="B705" s="2" t="s">
        <v>17</v>
      </c>
      <c r="C705" s="2" t="s">
        <v>18</v>
      </c>
      <c r="D705" s="2" t="s">
        <v>23</v>
      </c>
      <c r="E705" s="2" t="s">
        <v>33</v>
      </c>
      <c r="F705" s="2" t="s">
        <v>38</v>
      </c>
      <c r="G705" s="3">
        <v>2382076</v>
      </c>
      <c r="H705" s="3">
        <v>1845214</v>
      </c>
      <c r="I705" s="2" t="s">
        <v>11</v>
      </c>
      <c r="J705" s="3">
        <f t="shared" si="10"/>
        <v>153767.83333333334</v>
      </c>
    </row>
    <row r="706" spans="1:10" x14ac:dyDescent="0.35">
      <c r="A706" s="2" t="s">
        <v>14</v>
      </c>
      <c r="B706" s="2" t="s">
        <v>15</v>
      </c>
      <c r="C706" s="2" t="s">
        <v>19</v>
      </c>
      <c r="D706" s="2" t="s">
        <v>24</v>
      </c>
      <c r="E706" s="2" t="s">
        <v>34</v>
      </c>
      <c r="F706" s="2" t="s">
        <v>39</v>
      </c>
      <c r="G706" s="3">
        <v>1289213</v>
      </c>
      <c r="H706" s="3">
        <v>960712</v>
      </c>
      <c r="I706" s="2" t="s">
        <v>40</v>
      </c>
      <c r="J706" s="3">
        <f t="shared" si="10"/>
        <v>80059.333333333328</v>
      </c>
    </row>
    <row r="707" spans="1:10" x14ac:dyDescent="0.35">
      <c r="A707" s="2" t="s">
        <v>13</v>
      </c>
      <c r="B707" s="2" t="s">
        <v>17</v>
      </c>
      <c r="C707" s="2" t="s">
        <v>19</v>
      </c>
      <c r="D707" s="2" t="s">
        <v>21</v>
      </c>
      <c r="E707" s="2" t="s">
        <v>30</v>
      </c>
      <c r="F707" s="2" t="s">
        <v>39</v>
      </c>
      <c r="G707" s="3">
        <v>1894929</v>
      </c>
      <c r="H707" s="3">
        <v>1445347</v>
      </c>
      <c r="I707" s="2" t="s">
        <v>9</v>
      </c>
      <c r="J707" s="3">
        <f t="shared" ref="J707:J770" si="11">H707/12</f>
        <v>120445.58333333333</v>
      </c>
    </row>
    <row r="708" spans="1:10" x14ac:dyDescent="0.35">
      <c r="A708" s="2" t="s">
        <v>10</v>
      </c>
      <c r="B708" s="2" t="s">
        <v>17</v>
      </c>
      <c r="C708" s="2" t="s">
        <v>19</v>
      </c>
      <c r="D708" s="2" t="s">
        <v>24</v>
      </c>
      <c r="E708" s="2" t="s">
        <v>33</v>
      </c>
      <c r="F708" s="2" t="s">
        <v>36</v>
      </c>
      <c r="G708" s="3">
        <v>1632126</v>
      </c>
      <c r="H708" s="3">
        <v>1328568</v>
      </c>
      <c r="I708" s="2" t="s">
        <v>40</v>
      </c>
      <c r="J708" s="3">
        <f t="shared" si="11"/>
        <v>110714</v>
      </c>
    </row>
    <row r="709" spans="1:10" x14ac:dyDescent="0.35">
      <c r="A709" s="2" t="s">
        <v>14</v>
      </c>
      <c r="B709" s="2" t="s">
        <v>17</v>
      </c>
      <c r="C709" s="2" t="s">
        <v>19</v>
      </c>
      <c r="D709" s="2" t="s">
        <v>23</v>
      </c>
      <c r="E709" s="2" t="s">
        <v>32</v>
      </c>
      <c r="F709" s="2" t="s">
        <v>36</v>
      </c>
      <c r="G709" s="3">
        <v>2989915</v>
      </c>
      <c r="H709" s="3">
        <v>2283882</v>
      </c>
      <c r="I709" s="2" t="s">
        <v>40</v>
      </c>
      <c r="J709" s="3">
        <f t="shared" si="11"/>
        <v>190323.5</v>
      </c>
    </row>
    <row r="710" spans="1:10" x14ac:dyDescent="0.35">
      <c r="A710" s="2" t="s">
        <v>12</v>
      </c>
      <c r="B710" s="2" t="s">
        <v>17</v>
      </c>
      <c r="C710" s="2" t="s">
        <v>19</v>
      </c>
      <c r="D710" s="2" t="s">
        <v>22</v>
      </c>
      <c r="E710" s="2" t="s">
        <v>33</v>
      </c>
      <c r="F710" s="2" t="s">
        <v>36</v>
      </c>
      <c r="G710" s="3">
        <v>1739300</v>
      </c>
      <c r="H710" s="3">
        <v>1360112</v>
      </c>
      <c r="I710" s="2" t="s">
        <v>11</v>
      </c>
      <c r="J710" s="3">
        <f t="shared" si="11"/>
        <v>113342.66666666667</v>
      </c>
    </row>
    <row r="711" spans="1:10" x14ac:dyDescent="0.35">
      <c r="A711" s="2" t="s">
        <v>13</v>
      </c>
      <c r="B711" s="2" t="s">
        <v>15</v>
      </c>
      <c r="C711" s="2" t="s">
        <v>19</v>
      </c>
      <c r="D711" s="2" t="s">
        <v>25</v>
      </c>
      <c r="E711" s="2" t="s">
        <v>34</v>
      </c>
      <c r="F711" s="2" t="s">
        <v>37</v>
      </c>
      <c r="G711" s="3">
        <v>1175121</v>
      </c>
      <c r="H711" s="3">
        <v>940759</v>
      </c>
      <c r="I711" s="2" t="s">
        <v>9</v>
      </c>
      <c r="J711" s="3">
        <f t="shared" si="11"/>
        <v>78396.583333333328</v>
      </c>
    </row>
    <row r="712" spans="1:10" x14ac:dyDescent="0.35">
      <c r="A712" s="2" t="s">
        <v>14</v>
      </c>
      <c r="B712" s="2" t="s">
        <v>17</v>
      </c>
      <c r="C712" s="2" t="s">
        <v>18</v>
      </c>
      <c r="D712" s="2" t="s">
        <v>22</v>
      </c>
      <c r="E712" s="2" t="s">
        <v>29</v>
      </c>
      <c r="F712" s="2" t="s">
        <v>38</v>
      </c>
      <c r="G712" s="3">
        <v>1756171</v>
      </c>
      <c r="H712" s="3">
        <v>1276991</v>
      </c>
      <c r="I712" s="2" t="s">
        <v>40</v>
      </c>
      <c r="J712" s="3">
        <f t="shared" si="11"/>
        <v>106415.91666666667</v>
      </c>
    </row>
    <row r="713" spans="1:10" x14ac:dyDescent="0.35">
      <c r="A713" s="2" t="s">
        <v>9</v>
      </c>
      <c r="B713" s="2" t="s">
        <v>16</v>
      </c>
      <c r="C713" s="2" t="s">
        <v>18</v>
      </c>
      <c r="D713" s="2" t="s">
        <v>21</v>
      </c>
      <c r="E713" s="2" t="s">
        <v>35</v>
      </c>
      <c r="F713" s="2" t="s">
        <v>36</v>
      </c>
      <c r="G713" s="3">
        <v>2043737</v>
      </c>
      <c r="H713" s="3">
        <v>1496397</v>
      </c>
      <c r="I713" s="2" t="s">
        <v>9</v>
      </c>
      <c r="J713" s="3">
        <f t="shared" si="11"/>
        <v>124699.75</v>
      </c>
    </row>
    <row r="714" spans="1:10" x14ac:dyDescent="0.35">
      <c r="A714" s="2" t="s">
        <v>11</v>
      </c>
      <c r="B714" s="2" t="s">
        <v>17</v>
      </c>
      <c r="C714" s="2" t="s">
        <v>18</v>
      </c>
      <c r="D714" s="2" t="s">
        <v>27</v>
      </c>
      <c r="E714" s="2" t="s">
        <v>34</v>
      </c>
      <c r="F714" s="2" t="s">
        <v>38</v>
      </c>
      <c r="G714" s="3">
        <v>1336381</v>
      </c>
      <c r="H714" s="3">
        <v>1053132</v>
      </c>
      <c r="I714" s="2" t="s">
        <v>11</v>
      </c>
      <c r="J714" s="3">
        <f t="shared" si="11"/>
        <v>87761</v>
      </c>
    </row>
    <row r="715" spans="1:10" x14ac:dyDescent="0.35">
      <c r="A715" s="2" t="s">
        <v>13</v>
      </c>
      <c r="B715" s="2" t="s">
        <v>17</v>
      </c>
      <c r="C715" s="2" t="s">
        <v>19</v>
      </c>
      <c r="D715" s="2" t="s">
        <v>28</v>
      </c>
      <c r="E715" s="2" t="s">
        <v>31</v>
      </c>
      <c r="F715" s="2" t="s">
        <v>39</v>
      </c>
      <c r="G715" s="3">
        <v>2225901</v>
      </c>
      <c r="H715" s="3">
        <v>1668291</v>
      </c>
      <c r="I715" s="2" t="s">
        <v>9</v>
      </c>
      <c r="J715" s="3">
        <f t="shared" si="11"/>
        <v>139024.25</v>
      </c>
    </row>
    <row r="716" spans="1:10" x14ac:dyDescent="0.35">
      <c r="A716" s="2" t="s">
        <v>14</v>
      </c>
      <c r="B716" s="2" t="s">
        <v>17</v>
      </c>
      <c r="C716" s="2" t="s">
        <v>18</v>
      </c>
      <c r="D716" s="2" t="s">
        <v>23</v>
      </c>
      <c r="E716" s="2" t="s">
        <v>34</v>
      </c>
      <c r="F716" s="2" t="s">
        <v>39</v>
      </c>
      <c r="G716" s="3">
        <v>2518764</v>
      </c>
      <c r="H716" s="3">
        <v>1828926</v>
      </c>
      <c r="I716" s="2" t="s">
        <v>40</v>
      </c>
      <c r="J716" s="3">
        <f t="shared" si="11"/>
        <v>152410.5</v>
      </c>
    </row>
    <row r="717" spans="1:10" x14ac:dyDescent="0.35">
      <c r="A717" s="2" t="s">
        <v>12</v>
      </c>
      <c r="B717" s="2" t="s">
        <v>16</v>
      </c>
      <c r="C717" s="2" t="s">
        <v>18</v>
      </c>
      <c r="D717" s="2" t="s">
        <v>22</v>
      </c>
      <c r="E717" s="2" t="s">
        <v>30</v>
      </c>
      <c r="F717" s="2" t="s">
        <v>39</v>
      </c>
      <c r="G717" s="3">
        <v>2916142</v>
      </c>
      <c r="H717" s="3">
        <v>2129786</v>
      </c>
      <c r="I717" s="2" t="s">
        <v>11</v>
      </c>
      <c r="J717" s="3">
        <f t="shared" si="11"/>
        <v>177482.16666666666</v>
      </c>
    </row>
    <row r="718" spans="1:10" x14ac:dyDescent="0.35">
      <c r="A718" s="2" t="s">
        <v>13</v>
      </c>
      <c r="B718" s="2" t="s">
        <v>16</v>
      </c>
      <c r="C718" s="2" t="s">
        <v>18</v>
      </c>
      <c r="D718" s="2" t="s">
        <v>28</v>
      </c>
      <c r="E718" s="2" t="s">
        <v>34</v>
      </c>
      <c r="F718" s="2" t="s">
        <v>37</v>
      </c>
      <c r="G718" s="3">
        <v>4932229</v>
      </c>
      <c r="H718" s="3">
        <v>3542165</v>
      </c>
      <c r="I718" s="2" t="s">
        <v>9</v>
      </c>
      <c r="J718" s="3">
        <f t="shared" si="11"/>
        <v>295180.41666666669</v>
      </c>
    </row>
    <row r="719" spans="1:10" x14ac:dyDescent="0.35">
      <c r="A719" s="2" t="s">
        <v>10</v>
      </c>
      <c r="B719" s="2" t="s">
        <v>16</v>
      </c>
      <c r="C719" s="2" t="s">
        <v>18</v>
      </c>
      <c r="D719" s="2" t="s">
        <v>25</v>
      </c>
      <c r="E719" s="2" t="s">
        <v>30</v>
      </c>
      <c r="F719" s="2" t="s">
        <v>39</v>
      </c>
      <c r="G719" s="3">
        <v>3795980</v>
      </c>
      <c r="H719" s="3">
        <v>2816807</v>
      </c>
      <c r="I719" s="2" t="s">
        <v>40</v>
      </c>
      <c r="J719" s="3">
        <f t="shared" si="11"/>
        <v>234733.91666666666</v>
      </c>
    </row>
    <row r="720" spans="1:10" x14ac:dyDescent="0.35">
      <c r="A720" s="2" t="s">
        <v>14</v>
      </c>
      <c r="B720" s="2" t="s">
        <v>15</v>
      </c>
      <c r="C720" s="2" t="s">
        <v>18</v>
      </c>
      <c r="D720" s="2" t="s">
        <v>23</v>
      </c>
      <c r="E720" s="2" t="s">
        <v>29</v>
      </c>
      <c r="F720" s="2" t="s">
        <v>36</v>
      </c>
      <c r="G720" s="3">
        <v>722122</v>
      </c>
      <c r="H720" s="3">
        <v>530847</v>
      </c>
      <c r="I720" s="2" t="s">
        <v>40</v>
      </c>
      <c r="J720" s="3">
        <f t="shared" si="11"/>
        <v>44237.25</v>
      </c>
    </row>
    <row r="721" spans="1:10" x14ac:dyDescent="0.35">
      <c r="A721" s="2" t="s">
        <v>11</v>
      </c>
      <c r="B721" s="2" t="s">
        <v>16</v>
      </c>
      <c r="C721" s="2" t="s">
        <v>18</v>
      </c>
      <c r="D721" s="2" t="s">
        <v>28</v>
      </c>
      <c r="E721" s="2" t="s">
        <v>35</v>
      </c>
      <c r="F721" s="2" t="s">
        <v>36</v>
      </c>
      <c r="G721" s="3">
        <v>4773681</v>
      </c>
      <c r="H721" s="3">
        <v>3453133</v>
      </c>
      <c r="I721" s="2" t="s">
        <v>11</v>
      </c>
      <c r="J721" s="3">
        <f t="shared" si="11"/>
        <v>287761.08333333331</v>
      </c>
    </row>
    <row r="722" spans="1:10" x14ac:dyDescent="0.35">
      <c r="A722" s="2" t="s">
        <v>10</v>
      </c>
      <c r="B722" s="2" t="s">
        <v>16</v>
      </c>
      <c r="C722" s="2" t="s">
        <v>18</v>
      </c>
      <c r="D722" s="2" t="s">
        <v>27</v>
      </c>
      <c r="E722" s="2" t="s">
        <v>29</v>
      </c>
      <c r="F722" s="2" t="s">
        <v>38</v>
      </c>
      <c r="G722" s="3">
        <v>4330643</v>
      </c>
      <c r="H722" s="3">
        <v>3398749</v>
      </c>
      <c r="I722" s="2" t="s">
        <v>40</v>
      </c>
      <c r="J722" s="3">
        <f t="shared" si="11"/>
        <v>283229.08333333331</v>
      </c>
    </row>
    <row r="723" spans="1:10" x14ac:dyDescent="0.35">
      <c r="A723" s="2" t="s">
        <v>11</v>
      </c>
      <c r="B723" s="2" t="s">
        <v>15</v>
      </c>
      <c r="C723" s="2" t="s">
        <v>18</v>
      </c>
      <c r="D723" s="2" t="s">
        <v>20</v>
      </c>
      <c r="E723" s="2" t="s">
        <v>32</v>
      </c>
      <c r="F723" s="2" t="s">
        <v>38</v>
      </c>
      <c r="G723" s="3">
        <v>630013</v>
      </c>
      <c r="H723" s="3">
        <v>460412</v>
      </c>
      <c r="I723" s="2" t="s">
        <v>11</v>
      </c>
      <c r="J723" s="3">
        <f t="shared" si="11"/>
        <v>38367.666666666664</v>
      </c>
    </row>
    <row r="724" spans="1:10" x14ac:dyDescent="0.35">
      <c r="A724" s="2" t="s">
        <v>13</v>
      </c>
      <c r="B724" s="2" t="s">
        <v>17</v>
      </c>
      <c r="C724" s="2" t="s">
        <v>19</v>
      </c>
      <c r="D724" s="2" t="s">
        <v>26</v>
      </c>
      <c r="E724" s="2" t="s">
        <v>32</v>
      </c>
      <c r="F724" s="2" t="s">
        <v>37</v>
      </c>
      <c r="G724" s="3">
        <v>1353217</v>
      </c>
      <c r="H724" s="3">
        <v>980179</v>
      </c>
      <c r="I724" s="2" t="s">
        <v>9</v>
      </c>
      <c r="J724" s="3">
        <f t="shared" si="11"/>
        <v>81681.583333333328</v>
      </c>
    </row>
    <row r="725" spans="1:10" x14ac:dyDescent="0.35">
      <c r="A725" s="2" t="s">
        <v>14</v>
      </c>
      <c r="B725" s="2" t="s">
        <v>16</v>
      </c>
      <c r="C725" s="2" t="s">
        <v>18</v>
      </c>
      <c r="D725" s="2" t="s">
        <v>21</v>
      </c>
      <c r="E725" s="2" t="s">
        <v>31</v>
      </c>
      <c r="F725" s="2" t="s">
        <v>36</v>
      </c>
      <c r="G725" s="3">
        <v>4216381</v>
      </c>
      <c r="H725" s="3">
        <v>3165251</v>
      </c>
      <c r="I725" s="2" t="s">
        <v>40</v>
      </c>
      <c r="J725" s="3">
        <f t="shared" si="11"/>
        <v>263770.91666666669</v>
      </c>
    </row>
    <row r="726" spans="1:10" x14ac:dyDescent="0.35">
      <c r="A726" s="2" t="s">
        <v>12</v>
      </c>
      <c r="B726" s="2" t="s">
        <v>16</v>
      </c>
      <c r="C726" s="2" t="s">
        <v>19</v>
      </c>
      <c r="D726" s="2" t="s">
        <v>27</v>
      </c>
      <c r="E726" s="2" t="s">
        <v>32</v>
      </c>
      <c r="F726" s="2" t="s">
        <v>39</v>
      </c>
      <c r="G726" s="3">
        <v>4712422</v>
      </c>
      <c r="H726" s="3">
        <v>3756466</v>
      </c>
      <c r="I726" s="2" t="s">
        <v>11</v>
      </c>
      <c r="J726" s="3">
        <f t="shared" si="11"/>
        <v>313038.83333333331</v>
      </c>
    </row>
    <row r="727" spans="1:10" x14ac:dyDescent="0.35">
      <c r="A727" s="2" t="s">
        <v>10</v>
      </c>
      <c r="B727" s="2" t="s">
        <v>17</v>
      </c>
      <c r="C727" s="2" t="s">
        <v>19</v>
      </c>
      <c r="D727" s="2" t="s">
        <v>26</v>
      </c>
      <c r="E727" s="2" t="s">
        <v>32</v>
      </c>
      <c r="F727" s="2" t="s">
        <v>39</v>
      </c>
      <c r="G727" s="3">
        <v>2731233</v>
      </c>
      <c r="H727" s="3">
        <v>2217944</v>
      </c>
      <c r="I727" s="2" t="s">
        <v>40</v>
      </c>
      <c r="J727" s="3">
        <f t="shared" si="11"/>
        <v>184828.66666666666</v>
      </c>
    </row>
    <row r="728" spans="1:10" x14ac:dyDescent="0.35">
      <c r="A728" s="2" t="s">
        <v>13</v>
      </c>
      <c r="B728" s="2" t="s">
        <v>16</v>
      </c>
      <c r="C728" s="2" t="s">
        <v>18</v>
      </c>
      <c r="D728" s="2" t="s">
        <v>27</v>
      </c>
      <c r="E728" s="2" t="s">
        <v>30</v>
      </c>
      <c r="F728" s="2" t="s">
        <v>39</v>
      </c>
      <c r="G728" s="3">
        <v>2652451</v>
      </c>
      <c r="H728" s="3">
        <v>2124645</v>
      </c>
      <c r="I728" s="2" t="s">
        <v>9</v>
      </c>
      <c r="J728" s="3">
        <f t="shared" si="11"/>
        <v>177053.75</v>
      </c>
    </row>
    <row r="729" spans="1:10" x14ac:dyDescent="0.35">
      <c r="A729" s="2" t="s">
        <v>10</v>
      </c>
      <c r="B729" s="2" t="s">
        <v>17</v>
      </c>
      <c r="C729" s="2" t="s">
        <v>18</v>
      </c>
      <c r="D729" s="2" t="s">
        <v>27</v>
      </c>
      <c r="E729" s="2" t="s">
        <v>35</v>
      </c>
      <c r="F729" s="2" t="s">
        <v>39</v>
      </c>
      <c r="G729" s="3">
        <v>3157840</v>
      </c>
      <c r="H729" s="3">
        <v>2333497</v>
      </c>
      <c r="I729" s="2" t="s">
        <v>40</v>
      </c>
      <c r="J729" s="3">
        <f t="shared" si="11"/>
        <v>194458.08333333334</v>
      </c>
    </row>
    <row r="730" spans="1:10" x14ac:dyDescent="0.35">
      <c r="A730" s="2" t="s">
        <v>14</v>
      </c>
      <c r="B730" s="2" t="s">
        <v>15</v>
      </c>
      <c r="C730" s="2" t="s">
        <v>18</v>
      </c>
      <c r="D730" s="2" t="s">
        <v>28</v>
      </c>
      <c r="E730" s="2" t="s">
        <v>34</v>
      </c>
      <c r="F730" s="2" t="s">
        <v>37</v>
      </c>
      <c r="G730" s="3">
        <v>1220222</v>
      </c>
      <c r="H730" s="3">
        <v>890817</v>
      </c>
      <c r="I730" s="2" t="s">
        <v>40</v>
      </c>
      <c r="J730" s="3">
        <f t="shared" si="11"/>
        <v>74234.75</v>
      </c>
    </row>
    <row r="731" spans="1:10" x14ac:dyDescent="0.35">
      <c r="A731" s="2" t="s">
        <v>11</v>
      </c>
      <c r="B731" s="2" t="s">
        <v>17</v>
      </c>
      <c r="C731" s="2" t="s">
        <v>19</v>
      </c>
      <c r="D731" s="2" t="s">
        <v>23</v>
      </c>
      <c r="E731" s="2" t="s">
        <v>30</v>
      </c>
      <c r="F731" s="2" t="s">
        <v>36</v>
      </c>
      <c r="G731" s="3">
        <v>1813663</v>
      </c>
      <c r="H731" s="3">
        <v>1385631</v>
      </c>
      <c r="I731" s="2" t="s">
        <v>11</v>
      </c>
      <c r="J731" s="3">
        <f t="shared" si="11"/>
        <v>115469.25</v>
      </c>
    </row>
    <row r="732" spans="1:10" x14ac:dyDescent="0.35">
      <c r="A732" s="2" t="s">
        <v>10</v>
      </c>
      <c r="B732" s="2" t="s">
        <v>17</v>
      </c>
      <c r="C732" s="2" t="s">
        <v>18</v>
      </c>
      <c r="D732" s="2" t="s">
        <v>20</v>
      </c>
      <c r="E732" s="2" t="s">
        <v>29</v>
      </c>
      <c r="F732" s="2" t="s">
        <v>36</v>
      </c>
      <c r="G732" s="3">
        <v>3085767</v>
      </c>
      <c r="H732" s="3">
        <v>2509295</v>
      </c>
      <c r="I732" s="2" t="s">
        <v>40</v>
      </c>
      <c r="J732" s="3">
        <f t="shared" si="11"/>
        <v>209107.91666666666</v>
      </c>
    </row>
    <row r="733" spans="1:10" x14ac:dyDescent="0.35">
      <c r="A733" s="2" t="s">
        <v>9</v>
      </c>
      <c r="B733" s="2" t="s">
        <v>15</v>
      </c>
      <c r="C733" s="2" t="s">
        <v>18</v>
      </c>
      <c r="D733" s="2" t="s">
        <v>25</v>
      </c>
      <c r="E733" s="2" t="s">
        <v>32</v>
      </c>
      <c r="F733" s="2" t="s">
        <v>39</v>
      </c>
      <c r="G733" s="3">
        <v>635108</v>
      </c>
      <c r="H733" s="3">
        <v>507079</v>
      </c>
      <c r="I733" s="2" t="s">
        <v>9</v>
      </c>
      <c r="J733" s="3">
        <f t="shared" si="11"/>
        <v>42256.583333333336</v>
      </c>
    </row>
    <row r="734" spans="1:10" x14ac:dyDescent="0.35">
      <c r="A734" s="2" t="s">
        <v>9</v>
      </c>
      <c r="B734" s="2" t="s">
        <v>15</v>
      </c>
      <c r="C734" s="2" t="s">
        <v>19</v>
      </c>
      <c r="D734" s="2" t="s">
        <v>25</v>
      </c>
      <c r="E734" s="2" t="s">
        <v>31</v>
      </c>
      <c r="F734" s="2" t="s">
        <v>36</v>
      </c>
      <c r="G734" s="3">
        <v>560941</v>
      </c>
      <c r="H734" s="3">
        <v>447709</v>
      </c>
      <c r="I734" s="2" t="s">
        <v>9</v>
      </c>
      <c r="J734" s="3">
        <f t="shared" si="11"/>
        <v>37309.083333333336</v>
      </c>
    </row>
    <row r="735" spans="1:10" x14ac:dyDescent="0.35">
      <c r="A735" s="2" t="s">
        <v>13</v>
      </c>
      <c r="B735" s="2" t="s">
        <v>16</v>
      </c>
      <c r="C735" s="2" t="s">
        <v>18</v>
      </c>
      <c r="D735" s="2" t="s">
        <v>27</v>
      </c>
      <c r="E735" s="2" t="s">
        <v>30</v>
      </c>
      <c r="F735" s="2" t="s">
        <v>36</v>
      </c>
      <c r="G735" s="3">
        <v>4054640</v>
      </c>
      <c r="H735" s="3">
        <v>3010897</v>
      </c>
      <c r="I735" s="2" t="s">
        <v>9</v>
      </c>
      <c r="J735" s="3">
        <f t="shared" si="11"/>
        <v>250908.08333333334</v>
      </c>
    </row>
    <row r="736" spans="1:10" x14ac:dyDescent="0.35">
      <c r="A736" s="2" t="s">
        <v>10</v>
      </c>
      <c r="B736" s="2" t="s">
        <v>16</v>
      </c>
      <c r="C736" s="2" t="s">
        <v>18</v>
      </c>
      <c r="D736" s="2" t="s">
        <v>27</v>
      </c>
      <c r="E736" s="2" t="s">
        <v>30</v>
      </c>
      <c r="F736" s="2" t="s">
        <v>36</v>
      </c>
      <c r="G736" s="3">
        <v>5278543</v>
      </c>
      <c r="H736" s="3">
        <v>4182383</v>
      </c>
      <c r="I736" s="2" t="s">
        <v>40</v>
      </c>
      <c r="J736" s="3">
        <f t="shared" si="11"/>
        <v>348531.91666666669</v>
      </c>
    </row>
    <row r="737" spans="1:10" x14ac:dyDescent="0.35">
      <c r="A737" s="2" t="s">
        <v>13</v>
      </c>
      <c r="B737" s="2" t="s">
        <v>17</v>
      </c>
      <c r="C737" s="2" t="s">
        <v>18</v>
      </c>
      <c r="D737" s="2" t="s">
        <v>20</v>
      </c>
      <c r="E737" s="2" t="s">
        <v>29</v>
      </c>
      <c r="F737" s="2" t="s">
        <v>36</v>
      </c>
      <c r="G737" s="3">
        <v>1233990</v>
      </c>
      <c r="H737" s="3">
        <v>1007677</v>
      </c>
      <c r="I737" s="2" t="s">
        <v>9</v>
      </c>
      <c r="J737" s="3">
        <f t="shared" si="11"/>
        <v>83973.083333333328</v>
      </c>
    </row>
    <row r="738" spans="1:10" x14ac:dyDescent="0.35">
      <c r="A738" s="2" t="s">
        <v>9</v>
      </c>
      <c r="B738" s="2" t="s">
        <v>17</v>
      </c>
      <c r="C738" s="2" t="s">
        <v>18</v>
      </c>
      <c r="D738" s="2" t="s">
        <v>28</v>
      </c>
      <c r="E738" s="2" t="s">
        <v>29</v>
      </c>
      <c r="F738" s="2" t="s">
        <v>37</v>
      </c>
      <c r="G738" s="3">
        <v>1372213</v>
      </c>
      <c r="H738" s="3">
        <v>1113998</v>
      </c>
      <c r="I738" s="2" t="s">
        <v>9</v>
      </c>
      <c r="J738" s="3">
        <f t="shared" si="11"/>
        <v>92833.166666666672</v>
      </c>
    </row>
    <row r="739" spans="1:10" x14ac:dyDescent="0.35">
      <c r="A739" s="2" t="s">
        <v>14</v>
      </c>
      <c r="B739" s="2" t="s">
        <v>17</v>
      </c>
      <c r="C739" s="2" t="s">
        <v>18</v>
      </c>
      <c r="D739" s="2" t="s">
        <v>27</v>
      </c>
      <c r="E739" s="2" t="s">
        <v>34</v>
      </c>
      <c r="F739" s="2" t="s">
        <v>39</v>
      </c>
      <c r="G739" s="3">
        <v>2424694</v>
      </c>
      <c r="H739" s="3">
        <v>1906901</v>
      </c>
      <c r="I739" s="2" t="s">
        <v>40</v>
      </c>
      <c r="J739" s="3">
        <f t="shared" si="11"/>
        <v>158908.41666666666</v>
      </c>
    </row>
    <row r="740" spans="1:10" x14ac:dyDescent="0.35">
      <c r="A740" s="2" t="s">
        <v>9</v>
      </c>
      <c r="B740" s="2" t="s">
        <v>17</v>
      </c>
      <c r="C740" s="2" t="s">
        <v>19</v>
      </c>
      <c r="D740" s="2" t="s">
        <v>25</v>
      </c>
      <c r="E740" s="2" t="s">
        <v>34</v>
      </c>
      <c r="F740" s="2" t="s">
        <v>36</v>
      </c>
      <c r="G740" s="3">
        <v>862082</v>
      </c>
      <c r="H740" s="3">
        <v>661741</v>
      </c>
      <c r="I740" s="2" t="s">
        <v>9</v>
      </c>
      <c r="J740" s="3">
        <f t="shared" si="11"/>
        <v>55145.083333333336</v>
      </c>
    </row>
    <row r="741" spans="1:10" x14ac:dyDescent="0.35">
      <c r="A741" s="2" t="s">
        <v>14</v>
      </c>
      <c r="B741" s="2" t="s">
        <v>17</v>
      </c>
      <c r="C741" s="2" t="s">
        <v>19</v>
      </c>
      <c r="D741" s="2" t="s">
        <v>25</v>
      </c>
      <c r="E741" s="2" t="s">
        <v>30</v>
      </c>
      <c r="F741" s="2" t="s">
        <v>38</v>
      </c>
      <c r="G741" s="3">
        <v>1544233</v>
      </c>
      <c r="H741" s="3">
        <v>1089989</v>
      </c>
      <c r="I741" s="2" t="s">
        <v>40</v>
      </c>
      <c r="J741" s="3">
        <f t="shared" si="11"/>
        <v>90832.416666666672</v>
      </c>
    </row>
    <row r="742" spans="1:10" x14ac:dyDescent="0.35">
      <c r="A742" s="2" t="s">
        <v>9</v>
      </c>
      <c r="B742" s="2" t="s">
        <v>15</v>
      </c>
      <c r="C742" s="2" t="s">
        <v>18</v>
      </c>
      <c r="D742" s="2" t="s">
        <v>26</v>
      </c>
      <c r="E742" s="2" t="s">
        <v>34</v>
      </c>
      <c r="F742" s="2" t="s">
        <v>38</v>
      </c>
      <c r="G742" s="3">
        <v>479731</v>
      </c>
      <c r="H742" s="3">
        <v>359681</v>
      </c>
      <c r="I742" s="2" t="s">
        <v>9</v>
      </c>
      <c r="J742" s="3">
        <f t="shared" si="11"/>
        <v>29973.416666666668</v>
      </c>
    </row>
    <row r="743" spans="1:10" x14ac:dyDescent="0.35">
      <c r="A743" s="2" t="s">
        <v>11</v>
      </c>
      <c r="B743" s="2" t="s">
        <v>15</v>
      </c>
      <c r="C743" s="2" t="s">
        <v>19</v>
      </c>
      <c r="D743" s="2" t="s">
        <v>27</v>
      </c>
      <c r="E743" s="2" t="s">
        <v>33</v>
      </c>
      <c r="F743" s="2" t="s">
        <v>36</v>
      </c>
      <c r="G743" s="3">
        <v>776537</v>
      </c>
      <c r="H743" s="3">
        <v>550969</v>
      </c>
      <c r="I743" s="2" t="s">
        <v>11</v>
      </c>
      <c r="J743" s="3">
        <f t="shared" si="11"/>
        <v>45914.083333333336</v>
      </c>
    </row>
    <row r="744" spans="1:10" x14ac:dyDescent="0.35">
      <c r="A744" s="2" t="s">
        <v>12</v>
      </c>
      <c r="B744" s="2" t="s">
        <v>16</v>
      </c>
      <c r="C744" s="2" t="s">
        <v>19</v>
      </c>
      <c r="D744" s="2" t="s">
        <v>25</v>
      </c>
      <c r="E744" s="2" t="s">
        <v>33</v>
      </c>
      <c r="F744" s="2" t="s">
        <v>36</v>
      </c>
      <c r="G744" s="3">
        <v>3735230</v>
      </c>
      <c r="H744" s="3">
        <v>2879241</v>
      </c>
      <c r="I744" s="2" t="s">
        <v>11</v>
      </c>
      <c r="J744" s="3">
        <f t="shared" si="11"/>
        <v>239936.75</v>
      </c>
    </row>
    <row r="745" spans="1:10" x14ac:dyDescent="0.35">
      <c r="A745" s="2" t="s">
        <v>13</v>
      </c>
      <c r="B745" s="2" t="s">
        <v>17</v>
      </c>
      <c r="C745" s="2" t="s">
        <v>18</v>
      </c>
      <c r="D745" s="2" t="s">
        <v>21</v>
      </c>
      <c r="E745" s="2" t="s">
        <v>32</v>
      </c>
      <c r="F745" s="2" t="s">
        <v>38</v>
      </c>
      <c r="G745" s="3">
        <v>1288041</v>
      </c>
      <c r="H745" s="3">
        <v>901949</v>
      </c>
      <c r="I745" s="2" t="s">
        <v>9</v>
      </c>
      <c r="J745" s="3">
        <f t="shared" si="11"/>
        <v>75162.416666666672</v>
      </c>
    </row>
    <row r="746" spans="1:10" x14ac:dyDescent="0.35">
      <c r="A746" s="2" t="s">
        <v>11</v>
      </c>
      <c r="B746" s="2" t="s">
        <v>17</v>
      </c>
      <c r="C746" s="2" t="s">
        <v>19</v>
      </c>
      <c r="D746" s="2" t="s">
        <v>27</v>
      </c>
      <c r="E746" s="2" t="s">
        <v>31</v>
      </c>
      <c r="F746" s="2" t="s">
        <v>38</v>
      </c>
      <c r="G746" s="3">
        <v>1795317</v>
      </c>
      <c r="H746" s="3">
        <v>1338990</v>
      </c>
      <c r="I746" s="2" t="s">
        <v>11</v>
      </c>
      <c r="J746" s="3">
        <f t="shared" si="11"/>
        <v>111582.5</v>
      </c>
    </row>
    <row r="747" spans="1:10" x14ac:dyDescent="0.35">
      <c r="A747" s="2" t="s">
        <v>9</v>
      </c>
      <c r="B747" s="2" t="s">
        <v>17</v>
      </c>
      <c r="C747" s="2" t="s">
        <v>19</v>
      </c>
      <c r="D747" s="2" t="s">
        <v>22</v>
      </c>
      <c r="E747" s="2" t="s">
        <v>34</v>
      </c>
      <c r="F747" s="2" t="s">
        <v>37</v>
      </c>
      <c r="G747" s="3">
        <v>1745811</v>
      </c>
      <c r="H747" s="3">
        <v>1291674</v>
      </c>
      <c r="I747" s="2" t="s">
        <v>9</v>
      </c>
      <c r="J747" s="3">
        <f t="shared" si="11"/>
        <v>107639.5</v>
      </c>
    </row>
    <row r="748" spans="1:10" x14ac:dyDescent="0.35">
      <c r="A748" s="2" t="s">
        <v>12</v>
      </c>
      <c r="B748" s="2" t="s">
        <v>17</v>
      </c>
      <c r="C748" s="2" t="s">
        <v>18</v>
      </c>
      <c r="D748" s="2" t="s">
        <v>23</v>
      </c>
      <c r="E748" s="2" t="s">
        <v>30</v>
      </c>
      <c r="F748" s="2" t="s">
        <v>39</v>
      </c>
      <c r="G748" s="3">
        <v>1617072</v>
      </c>
      <c r="H748" s="3">
        <v>1193626</v>
      </c>
      <c r="I748" s="2" t="s">
        <v>11</v>
      </c>
      <c r="J748" s="3">
        <f t="shared" si="11"/>
        <v>99468.833333333328</v>
      </c>
    </row>
    <row r="749" spans="1:10" x14ac:dyDescent="0.35">
      <c r="A749" s="2" t="s">
        <v>12</v>
      </c>
      <c r="B749" s="2" t="s">
        <v>17</v>
      </c>
      <c r="C749" s="2" t="s">
        <v>19</v>
      </c>
      <c r="D749" s="2" t="s">
        <v>25</v>
      </c>
      <c r="E749" s="2" t="s">
        <v>33</v>
      </c>
      <c r="F749" s="2" t="s">
        <v>37</v>
      </c>
      <c r="G749" s="3">
        <v>1322876</v>
      </c>
      <c r="H749" s="3">
        <v>1060138</v>
      </c>
      <c r="I749" s="2" t="s">
        <v>11</v>
      </c>
      <c r="J749" s="3">
        <f t="shared" si="11"/>
        <v>88344.833333333328</v>
      </c>
    </row>
    <row r="750" spans="1:10" x14ac:dyDescent="0.35">
      <c r="A750" s="2" t="s">
        <v>10</v>
      </c>
      <c r="B750" s="2" t="s">
        <v>17</v>
      </c>
      <c r="C750" s="2" t="s">
        <v>18</v>
      </c>
      <c r="D750" s="2" t="s">
        <v>23</v>
      </c>
      <c r="E750" s="2" t="s">
        <v>35</v>
      </c>
      <c r="F750" s="2" t="s">
        <v>38</v>
      </c>
      <c r="G750" s="3">
        <v>2046251</v>
      </c>
      <c r="H750" s="3">
        <v>1466390</v>
      </c>
      <c r="I750" s="2" t="s">
        <v>40</v>
      </c>
      <c r="J750" s="3">
        <f t="shared" si="11"/>
        <v>122199.16666666667</v>
      </c>
    </row>
    <row r="751" spans="1:10" x14ac:dyDescent="0.35">
      <c r="A751" s="2" t="s">
        <v>10</v>
      </c>
      <c r="B751" s="2" t="s">
        <v>16</v>
      </c>
      <c r="C751" s="2" t="s">
        <v>18</v>
      </c>
      <c r="D751" s="2" t="s">
        <v>26</v>
      </c>
      <c r="E751" s="2" t="s">
        <v>32</v>
      </c>
      <c r="F751" s="2" t="s">
        <v>37</v>
      </c>
      <c r="G751" s="3">
        <v>5301408</v>
      </c>
      <c r="H751" s="3">
        <v>4049700</v>
      </c>
      <c r="I751" s="2" t="s">
        <v>40</v>
      </c>
      <c r="J751" s="3">
        <f t="shared" si="11"/>
        <v>337475</v>
      </c>
    </row>
    <row r="752" spans="1:10" x14ac:dyDescent="0.35">
      <c r="A752" s="2" t="s">
        <v>11</v>
      </c>
      <c r="B752" s="2" t="s">
        <v>15</v>
      </c>
      <c r="C752" s="2" t="s">
        <v>18</v>
      </c>
      <c r="D752" s="2" t="s">
        <v>25</v>
      </c>
      <c r="E752" s="2" t="s">
        <v>34</v>
      </c>
      <c r="F752" s="2" t="s">
        <v>37</v>
      </c>
      <c r="G752" s="3">
        <v>470812</v>
      </c>
      <c r="H752" s="3">
        <v>352751</v>
      </c>
      <c r="I752" s="2" t="s">
        <v>11</v>
      </c>
      <c r="J752" s="3">
        <f t="shared" si="11"/>
        <v>29395.916666666668</v>
      </c>
    </row>
    <row r="753" spans="1:10" x14ac:dyDescent="0.35">
      <c r="A753" s="2" t="s">
        <v>10</v>
      </c>
      <c r="B753" s="2" t="s">
        <v>16</v>
      </c>
      <c r="C753" s="2" t="s">
        <v>18</v>
      </c>
      <c r="D753" s="2" t="s">
        <v>20</v>
      </c>
      <c r="E753" s="2" t="s">
        <v>34</v>
      </c>
      <c r="F753" s="2" t="s">
        <v>38</v>
      </c>
      <c r="G753" s="3">
        <v>5663328</v>
      </c>
      <c r="H753" s="3">
        <v>4471430</v>
      </c>
      <c r="I753" s="2" t="s">
        <v>40</v>
      </c>
      <c r="J753" s="3">
        <f t="shared" si="11"/>
        <v>372619.16666666669</v>
      </c>
    </row>
    <row r="754" spans="1:10" x14ac:dyDescent="0.35">
      <c r="A754" s="2" t="s">
        <v>9</v>
      </c>
      <c r="B754" s="2" t="s">
        <v>17</v>
      </c>
      <c r="C754" s="2" t="s">
        <v>19</v>
      </c>
      <c r="D754" s="2" t="s">
        <v>25</v>
      </c>
      <c r="E754" s="2" t="s">
        <v>31</v>
      </c>
      <c r="F754" s="2" t="s">
        <v>39</v>
      </c>
      <c r="G754" s="3">
        <v>1763512</v>
      </c>
      <c r="H754" s="3">
        <v>1291769</v>
      </c>
      <c r="I754" s="2" t="s">
        <v>9</v>
      </c>
      <c r="J754" s="3">
        <f t="shared" si="11"/>
        <v>107647.41666666667</v>
      </c>
    </row>
    <row r="755" spans="1:10" x14ac:dyDescent="0.35">
      <c r="A755" s="2" t="s">
        <v>13</v>
      </c>
      <c r="B755" s="2" t="s">
        <v>16</v>
      </c>
      <c r="C755" s="2" t="s">
        <v>18</v>
      </c>
      <c r="D755" s="2" t="s">
        <v>22</v>
      </c>
      <c r="E755" s="2" t="s">
        <v>32</v>
      </c>
      <c r="F755" s="2" t="s">
        <v>37</v>
      </c>
      <c r="G755" s="3">
        <v>4438451</v>
      </c>
      <c r="H755" s="3">
        <v>3207778</v>
      </c>
      <c r="I755" s="2" t="s">
        <v>9</v>
      </c>
      <c r="J755" s="3">
        <f t="shared" si="11"/>
        <v>267314.83333333331</v>
      </c>
    </row>
    <row r="756" spans="1:10" x14ac:dyDescent="0.35">
      <c r="A756" s="2" t="s">
        <v>12</v>
      </c>
      <c r="B756" s="2" t="s">
        <v>15</v>
      </c>
      <c r="C756" s="2" t="s">
        <v>19</v>
      </c>
      <c r="D756" s="2" t="s">
        <v>28</v>
      </c>
      <c r="E756" s="2" t="s">
        <v>34</v>
      </c>
      <c r="F756" s="2" t="s">
        <v>38</v>
      </c>
      <c r="G756" s="3">
        <v>639562</v>
      </c>
      <c r="H756" s="3">
        <v>464336</v>
      </c>
      <c r="I756" s="2" t="s">
        <v>11</v>
      </c>
      <c r="J756" s="3">
        <f t="shared" si="11"/>
        <v>38694.666666666664</v>
      </c>
    </row>
    <row r="757" spans="1:10" x14ac:dyDescent="0.35">
      <c r="A757" s="2" t="s">
        <v>11</v>
      </c>
      <c r="B757" s="2" t="s">
        <v>16</v>
      </c>
      <c r="C757" s="2" t="s">
        <v>19</v>
      </c>
      <c r="D757" s="2" t="s">
        <v>21</v>
      </c>
      <c r="E757" s="2" t="s">
        <v>35</v>
      </c>
      <c r="F757" s="2" t="s">
        <v>39</v>
      </c>
      <c r="G757" s="3">
        <v>3272024</v>
      </c>
      <c r="H757" s="3">
        <v>2329585</v>
      </c>
      <c r="I757" s="2" t="s">
        <v>11</v>
      </c>
      <c r="J757" s="3">
        <f t="shared" si="11"/>
        <v>194132.08333333334</v>
      </c>
    </row>
    <row r="758" spans="1:10" x14ac:dyDescent="0.35">
      <c r="A758" s="2" t="s">
        <v>10</v>
      </c>
      <c r="B758" s="2" t="s">
        <v>16</v>
      </c>
      <c r="C758" s="2" t="s">
        <v>19</v>
      </c>
      <c r="D758" s="2" t="s">
        <v>20</v>
      </c>
      <c r="E758" s="2" t="s">
        <v>30</v>
      </c>
      <c r="F758" s="2" t="s">
        <v>39</v>
      </c>
      <c r="G758" s="3">
        <v>3664673</v>
      </c>
      <c r="H758" s="3">
        <v>2960385</v>
      </c>
      <c r="I758" s="2" t="s">
        <v>40</v>
      </c>
      <c r="J758" s="3">
        <f t="shared" si="11"/>
        <v>246698.75</v>
      </c>
    </row>
    <row r="759" spans="1:10" x14ac:dyDescent="0.35">
      <c r="A759" s="2" t="s">
        <v>13</v>
      </c>
      <c r="B759" s="2" t="s">
        <v>15</v>
      </c>
      <c r="C759" s="2" t="s">
        <v>18</v>
      </c>
      <c r="D759" s="2" t="s">
        <v>24</v>
      </c>
      <c r="E759" s="2" t="s">
        <v>34</v>
      </c>
      <c r="F759" s="2" t="s">
        <v>39</v>
      </c>
      <c r="G759" s="3">
        <v>887409</v>
      </c>
      <c r="H759" s="3">
        <v>640080</v>
      </c>
      <c r="I759" s="2" t="s">
        <v>9</v>
      </c>
      <c r="J759" s="3">
        <f t="shared" si="11"/>
        <v>53340</v>
      </c>
    </row>
    <row r="760" spans="1:10" x14ac:dyDescent="0.35">
      <c r="A760" s="2" t="s">
        <v>9</v>
      </c>
      <c r="B760" s="2" t="s">
        <v>15</v>
      </c>
      <c r="C760" s="2" t="s">
        <v>19</v>
      </c>
      <c r="D760" s="2" t="s">
        <v>27</v>
      </c>
      <c r="E760" s="2" t="s">
        <v>33</v>
      </c>
      <c r="F760" s="2" t="s">
        <v>38</v>
      </c>
      <c r="G760" s="3">
        <v>351666</v>
      </c>
      <c r="H760" s="3">
        <v>271929</v>
      </c>
      <c r="I760" s="2" t="s">
        <v>9</v>
      </c>
      <c r="J760" s="3">
        <f t="shared" si="11"/>
        <v>22660.75</v>
      </c>
    </row>
    <row r="761" spans="1:10" x14ac:dyDescent="0.35">
      <c r="A761" s="2" t="s">
        <v>13</v>
      </c>
      <c r="B761" s="2" t="s">
        <v>15</v>
      </c>
      <c r="C761" s="2" t="s">
        <v>18</v>
      </c>
      <c r="D761" s="2" t="s">
        <v>22</v>
      </c>
      <c r="E761" s="2" t="s">
        <v>32</v>
      </c>
      <c r="F761" s="2" t="s">
        <v>39</v>
      </c>
      <c r="G761" s="3">
        <v>658511</v>
      </c>
      <c r="H761" s="3">
        <v>497299</v>
      </c>
      <c r="I761" s="2" t="s">
        <v>9</v>
      </c>
      <c r="J761" s="3">
        <f t="shared" si="11"/>
        <v>41441.583333333336</v>
      </c>
    </row>
    <row r="762" spans="1:10" x14ac:dyDescent="0.35">
      <c r="A762" s="2" t="s">
        <v>13</v>
      </c>
      <c r="B762" s="2" t="s">
        <v>15</v>
      </c>
      <c r="C762" s="2" t="s">
        <v>19</v>
      </c>
      <c r="D762" s="2" t="s">
        <v>22</v>
      </c>
      <c r="E762" s="2" t="s">
        <v>35</v>
      </c>
      <c r="F762" s="2" t="s">
        <v>36</v>
      </c>
      <c r="G762" s="3">
        <v>799046</v>
      </c>
      <c r="H762" s="3">
        <v>632654</v>
      </c>
      <c r="I762" s="2" t="s">
        <v>9</v>
      </c>
      <c r="J762" s="3">
        <f t="shared" si="11"/>
        <v>52721.166666666664</v>
      </c>
    </row>
    <row r="763" spans="1:10" x14ac:dyDescent="0.35">
      <c r="A763" s="2" t="s">
        <v>10</v>
      </c>
      <c r="B763" s="2" t="s">
        <v>15</v>
      </c>
      <c r="C763" s="2" t="s">
        <v>19</v>
      </c>
      <c r="D763" s="2" t="s">
        <v>20</v>
      </c>
      <c r="E763" s="2" t="s">
        <v>32</v>
      </c>
      <c r="F763" s="2" t="s">
        <v>38</v>
      </c>
      <c r="G763" s="3">
        <v>1463354</v>
      </c>
      <c r="H763" s="3">
        <v>1172181</v>
      </c>
      <c r="I763" s="2" t="s">
        <v>40</v>
      </c>
      <c r="J763" s="3">
        <f t="shared" si="11"/>
        <v>97681.75</v>
      </c>
    </row>
    <row r="764" spans="1:10" x14ac:dyDescent="0.35">
      <c r="A764" s="2" t="s">
        <v>11</v>
      </c>
      <c r="B764" s="2" t="s">
        <v>16</v>
      </c>
      <c r="C764" s="2" t="s">
        <v>18</v>
      </c>
      <c r="D764" s="2" t="s">
        <v>23</v>
      </c>
      <c r="E764" s="2" t="s">
        <v>30</v>
      </c>
      <c r="F764" s="2" t="s">
        <v>38</v>
      </c>
      <c r="G764" s="3">
        <v>3618987</v>
      </c>
      <c r="H764" s="3">
        <v>2718072</v>
      </c>
      <c r="I764" s="2" t="s">
        <v>11</v>
      </c>
      <c r="J764" s="3">
        <f t="shared" si="11"/>
        <v>226506</v>
      </c>
    </row>
    <row r="765" spans="1:10" x14ac:dyDescent="0.35">
      <c r="A765" s="2" t="s">
        <v>13</v>
      </c>
      <c r="B765" s="2" t="s">
        <v>15</v>
      </c>
      <c r="C765" s="2" t="s">
        <v>18</v>
      </c>
      <c r="D765" s="2" t="s">
        <v>21</v>
      </c>
      <c r="E765" s="2" t="s">
        <v>30</v>
      </c>
      <c r="F765" s="2" t="s">
        <v>36</v>
      </c>
      <c r="G765" s="3">
        <v>1109968</v>
      </c>
      <c r="H765" s="3">
        <v>777266</v>
      </c>
      <c r="I765" s="2" t="s">
        <v>9</v>
      </c>
      <c r="J765" s="3">
        <f t="shared" si="11"/>
        <v>64772.166666666664</v>
      </c>
    </row>
    <row r="766" spans="1:10" x14ac:dyDescent="0.35">
      <c r="A766" s="2" t="s">
        <v>10</v>
      </c>
      <c r="B766" s="2" t="s">
        <v>17</v>
      </c>
      <c r="C766" s="2" t="s">
        <v>18</v>
      </c>
      <c r="D766" s="2" t="s">
        <v>27</v>
      </c>
      <c r="E766" s="2" t="s">
        <v>31</v>
      </c>
      <c r="F766" s="2" t="s">
        <v>37</v>
      </c>
      <c r="G766" s="3">
        <v>1675446</v>
      </c>
      <c r="H766" s="3">
        <v>1217438</v>
      </c>
      <c r="I766" s="2" t="s">
        <v>40</v>
      </c>
      <c r="J766" s="3">
        <f t="shared" si="11"/>
        <v>101453.16666666667</v>
      </c>
    </row>
    <row r="767" spans="1:10" x14ac:dyDescent="0.35">
      <c r="A767" s="2" t="s">
        <v>9</v>
      </c>
      <c r="B767" s="2" t="s">
        <v>16</v>
      </c>
      <c r="C767" s="2" t="s">
        <v>19</v>
      </c>
      <c r="D767" s="2" t="s">
        <v>26</v>
      </c>
      <c r="E767" s="2" t="s">
        <v>32</v>
      </c>
      <c r="F767" s="2" t="s">
        <v>39</v>
      </c>
      <c r="G767" s="3">
        <v>2806931</v>
      </c>
      <c r="H767" s="3">
        <v>2111804</v>
      </c>
      <c r="I767" s="2" t="s">
        <v>9</v>
      </c>
      <c r="J767" s="3">
        <f t="shared" si="11"/>
        <v>175983.66666666666</v>
      </c>
    </row>
    <row r="768" spans="1:10" x14ac:dyDescent="0.35">
      <c r="A768" s="2" t="s">
        <v>14</v>
      </c>
      <c r="B768" s="2" t="s">
        <v>17</v>
      </c>
      <c r="C768" s="2" t="s">
        <v>18</v>
      </c>
      <c r="D768" s="2" t="s">
        <v>26</v>
      </c>
      <c r="E768" s="2" t="s">
        <v>30</v>
      </c>
      <c r="F768" s="2" t="s">
        <v>36</v>
      </c>
      <c r="G768" s="3">
        <v>1672226</v>
      </c>
      <c r="H768" s="3">
        <v>1354732</v>
      </c>
      <c r="I768" s="2" t="s">
        <v>40</v>
      </c>
      <c r="J768" s="3">
        <f t="shared" si="11"/>
        <v>112894.33333333333</v>
      </c>
    </row>
    <row r="769" spans="1:10" x14ac:dyDescent="0.35">
      <c r="A769" s="2" t="s">
        <v>9</v>
      </c>
      <c r="B769" s="2" t="s">
        <v>17</v>
      </c>
      <c r="C769" s="2" t="s">
        <v>19</v>
      </c>
      <c r="D769" s="2" t="s">
        <v>21</v>
      </c>
      <c r="E769" s="2" t="s">
        <v>29</v>
      </c>
      <c r="F769" s="2" t="s">
        <v>36</v>
      </c>
      <c r="G769" s="3">
        <v>825114</v>
      </c>
      <c r="H769" s="3">
        <v>636330</v>
      </c>
      <c r="I769" s="2" t="s">
        <v>9</v>
      </c>
      <c r="J769" s="3">
        <f t="shared" si="11"/>
        <v>53027.5</v>
      </c>
    </row>
    <row r="770" spans="1:10" x14ac:dyDescent="0.35">
      <c r="A770" s="2" t="s">
        <v>9</v>
      </c>
      <c r="B770" s="2" t="s">
        <v>16</v>
      </c>
      <c r="C770" s="2" t="s">
        <v>18</v>
      </c>
      <c r="D770" s="2" t="s">
        <v>25</v>
      </c>
      <c r="E770" s="2" t="s">
        <v>34</v>
      </c>
      <c r="F770" s="2" t="s">
        <v>38</v>
      </c>
      <c r="G770" s="3">
        <v>2089833</v>
      </c>
      <c r="H770" s="3">
        <v>1675576</v>
      </c>
      <c r="I770" s="2" t="s">
        <v>9</v>
      </c>
      <c r="J770" s="3">
        <f t="shared" si="11"/>
        <v>139631.33333333334</v>
      </c>
    </row>
    <row r="771" spans="1:10" x14ac:dyDescent="0.35">
      <c r="A771" s="2" t="s">
        <v>9</v>
      </c>
      <c r="B771" s="2" t="s">
        <v>16</v>
      </c>
      <c r="C771" s="2" t="s">
        <v>19</v>
      </c>
      <c r="D771" s="2" t="s">
        <v>28</v>
      </c>
      <c r="E771" s="2" t="s">
        <v>35</v>
      </c>
      <c r="F771" s="2" t="s">
        <v>38</v>
      </c>
      <c r="G771" s="3">
        <v>2479699</v>
      </c>
      <c r="H771" s="3">
        <v>1854164</v>
      </c>
      <c r="I771" s="2" t="s">
        <v>9</v>
      </c>
      <c r="J771" s="3">
        <f t="shared" ref="J771:J834" si="12">H771/12</f>
        <v>154513.66666666666</v>
      </c>
    </row>
    <row r="772" spans="1:10" x14ac:dyDescent="0.35">
      <c r="A772" s="2" t="s">
        <v>11</v>
      </c>
      <c r="B772" s="2" t="s">
        <v>15</v>
      </c>
      <c r="C772" s="2" t="s">
        <v>18</v>
      </c>
      <c r="D772" s="2" t="s">
        <v>21</v>
      </c>
      <c r="E772" s="2" t="s">
        <v>29</v>
      </c>
      <c r="F772" s="2" t="s">
        <v>39</v>
      </c>
      <c r="G772" s="3">
        <v>410421</v>
      </c>
      <c r="H772" s="3">
        <v>312718</v>
      </c>
      <c r="I772" s="2" t="s">
        <v>11</v>
      </c>
      <c r="J772" s="3">
        <f t="shared" si="12"/>
        <v>26059.833333333332</v>
      </c>
    </row>
    <row r="773" spans="1:10" x14ac:dyDescent="0.35">
      <c r="A773" s="2" t="s">
        <v>14</v>
      </c>
      <c r="B773" s="2" t="s">
        <v>16</v>
      </c>
      <c r="C773" s="2" t="s">
        <v>19</v>
      </c>
      <c r="D773" s="2" t="s">
        <v>26</v>
      </c>
      <c r="E773" s="2" t="s">
        <v>31</v>
      </c>
      <c r="F773" s="2" t="s">
        <v>38</v>
      </c>
      <c r="G773" s="3">
        <v>3319775</v>
      </c>
      <c r="H773" s="3">
        <v>2458472</v>
      </c>
      <c r="I773" s="2" t="s">
        <v>40</v>
      </c>
      <c r="J773" s="3">
        <f t="shared" si="12"/>
        <v>204872.66666666666</v>
      </c>
    </row>
    <row r="774" spans="1:10" x14ac:dyDescent="0.35">
      <c r="A774" s="2" t="s">
        <v>10</v>
      </c>
      <c r="B774" s="2" t="s">
        <v>15</v>
      </c>
      <c r="C774" s="2" t="s">
        <v>19</v>
      </c>
      <c r="D774" s="2" t="s">
        <v>28</v>
      </c>
      <c r="E774" s="2" t="s">
        <v>32</v>
      </c>
      <c r="F774" s="2" t="s">
        <v>36</v>
      </c>
      <c r="G774" s="3">
        <v>870900</v>
      </c>
      <c r="H774" s="3">
        <v>700304</v>
      </c>
      <c r="I774" s="2" t="s">
        <v>40</v>
      </c>
      <c r="J774" s="3">
        <f t="shared" si="12"/>
        <v>58358.666666666664</v>
      </c>
    </row>
    <row r="775" spans="1:10" x14ac:dyDescent="0.35">
      <c r="A775" s="2" t="s">
        <v>14</v>
      </c>
      <c r="B775" s="2" t="s">
        <v>17</v>
      </c>
      <c r="C775" s="2" t="s">
        <v>18</v>
      </c>
      <c r="D775" s="2" t="s">
        <v>23</v>
      </c>
      <c r="E775" s="2" t="s">
        <v>34</v>
      </c>
      <c r="F775" s="2" t="s">
        <v>38</v>
      </c>
      <c r="G775" s="3">
        <v>1807729</v>
      </c>
      <c r="H775" s="3">
        <v>1380196</v>
      </c>
      <c r="I775" s="2" t="s">
        <v>40</v>
      </c>
      <c r="J775" s="3">
        <f t="shared" si="12"/>
        <v>115016.33333333333</v>
      </c>
    </row>
    <row r="776" spans="1:10" x14ac:dyDescent="0.35">
      <c r="A776" s="2" t="s">
        <v>9</v>
      </c>
      <c r="B776" s="2" t="s">
        <v>17</v>
      </c>
      <c r="C776" s="2" t="s">
        <v>19</v>
      </c>
      <c r="D776" s="2" t="s">
        <v>25</v>
      </c>
      <c r="E776" s="2" t="s">
        <v>33</v>
      </c>
      <c r="F776" s="2" t="s">
        <v>37</v>
      </c>
      <c r="G776" s="3">
        <v>1302488</v>
      </c>
      <c r="H776" s="3">
        <v>1041777</v>
      </c>
      <c r="I776" s="2" t="s">
        <v>9</v>
      </c>
      <c r="J776" s="3">
        <f t="shared" si="12"/>
        <v>86814.75</v>
      </c>
    </row>
    <row r="777" spans="1:10" x14ac:dyDescent="0.35">
      <c r="A777" s="2" t="s">
        <v>12</v>
      </c>
      <c r="B777" s="2" t="s">
        <v>17</v>
      </c>
      <c r="C777" s="2" t="s">
        <v>18</v>
      </c>
      <c r="D777" s="2" t="s">
        <v>22</v>
      </c>
      <c r="E777" s="2" t="s">
        <v>33</v>
      </c>
      <c r="F777" s="2" t="s">
        <v>38</v>
      </c>
      <c r="G777" s="3">
        <v>1572756</v>
      </c>
      <c r="H777" s="3">
        <v>1256386</v>
      </c>
      <c r="I777" s="2" t="s">
        <v>11</v>
      </c>
      <c r="J777" s="3">
        <f t="shared" si="12"/>
        <v>104698.83333333333</v>
      </c>
    </row>
    <row r="778" spans="1:10" x14ac:dyDescent="0.35">
      <c r="A778" s="2" t="s">
        <v>11</v>
      </c>
      <c r="B778" s="2" t="s">
        <v>16</v>
      </c>
      <c r="C778" s="2" t="s">
        <v>18</v>
      </c>
      <c r="D778" s="2" t="s">
        <v>24</v>
      </c>
      <c r="E778" s="2" t="s">
        <v>34</v>
      </c>
      <c r="F778" s="2" t="s">
        <v>38</v>
      </c>
      <c r="G778" s="3">
        <v>3908868</v>
      </c>
      <c r="H778" s="3">
        <v>2978963</v>
      </c>
      <c r="I778" s="2" t="s">
        <v>11</v>
      </c>
      <c r="J778" s="3">
        <f t="shared" si="12"/>
        <v>248246.91666666666</v>
      </c>
    </row>
    <row r="779" spans="1:10" x14ac:dyDescent="0.35">
      <c r="A779" s="2" t="s">
        <v>11</v>
      </c>
      <c r="B779" s="2" t="s">
        <v>16</v>
      </c>
      <c r="C779" s="2" t="s">
        <v>19</v>
      </c>
      <c r="D779" s="2" t="s">
        <v>23</v>
      </c>
      <c r="E779" s="2" t="s">
        <v>32</v>
      </c>
      <c r="F779" s="2" t="s">
        <v>39</v>
      </c>
      <c r="G779" s="3">
        <v>5858335</v>
      </c>
      <c r="H779" s="3">
        <v>4347488</v>
      </c>
      <c r="I779" s="2" t="s">
        <v>11</v>
      </c>
      <c r="J779" s="3">
        <f t="shared" si="12"/>
        <v>362290.66666666669</v>
      </c>
    </row>
    <row r="780" spans="1:10" x14ac:dyDescent="0.35">
      <c r="A780" s="2" t="s">
        <v>10</v>
      </c>
      <c r="B780" s="2" t="s">
        <v>17</v>
      </c>
      <c r="C780" s="2" t="s">
        <v>18</v>
      </c>
      <c r="D780" s="2" t="s">
        <v>24</v>
      </c>
      <c r="E780" s="2" t="s">
        <v>33</v>
      </c>
      <c r="F780" s="2" t="s">
        <v>36</v>
      </c>
      <c r="G780" s="3">
        <v>2752020</v>
      </c>
      <c r="H780" s="3">
        <v>2143967</v>
      </c>
      <c r="I780" s="2" t="s">
        <v>40</v>
      </c>
      <c r="J780" s="3">
        <f t="shared" si="12"/>
        <v>178663.91666666666</v>
      </c>
    </row>
    <row r="781" spans="1:10" x14ac:dyDescent="0.35">
      <c r="A781" s="2" t="s">
        <v>9</v>
      </c>
      <c r="B781" s="2" t="s">
        <v>17</v>
      </c>
      <c r="C781" s="2" t="s">
        <v>18</v>
      </c>
      <c r="D781" s="2" t="s">
        <v>23</v>
      </c>
      <c r="E781" s="2" t="s">
        <v>29</v>
      </c>
      <c r="F781" s="2" t="s">
        <v>38</v>
      </c>
      <c r="G781" s="3">
        <v>1212074</v>
      </c>
      <c r="H781" s="3">
        <v>857738</v>
      </c>
      <c r="I781" s="2" t="s">
        <v>9</v>
      </c>
      <c r="J781" s="3">
        <f t="shared" si="12"/>
        <v>71478.166666666672</v>
      </c>
    </row>
    <row r="782" spans="1:10" x14ac:dyDescent="0.35">
      <c r="A782" s="2" t="s">
        <v>14</v>
      </c>
      <c r="B782" s="2" t="s">
        <v>16</v>
      </c>
      <c r="C782" s="2" t="s">
        <v>19</v>
      </c>
      <c r="D782" s="2" t="s">
        <v>22</v>
      </c>
      <c r="E782" s="2" t="s">
        <v>35</v>
      </c>
      <c r="F782" s="2" t="s">
        <v>37</v>
      </c>
      <c r="G782" s="3">
        <v>3586103</v>
      </c>
      <c r="H782" s="3">
        <v>2569969</v>
      </c>
      <c r="I782" s="2" t="s">
        <v>40</v>
      </c>
      <c r="J782" s="3">
        <f t="shared" si="12"/>
        <v>214164.08333333334</v>
      </c>
    </row>
    <row r="783" spans="1:10" x14ac:dyDescent="0.35">
      <c r="A783" s="2" t="s">
        <v>14</v>
      </c>
      <c r="B783" s="2" t="s">
        <v>17</v>
      </c>
      <c r="C783" s="2" t="s">
        <v>18</v>
      </c>
      <c r="D783" s="2" t="s">
        <v>22</v>
      </c>
      <c r="E783" s="2" t="s">
        <v>34</v>
      </c>
      <c r="F783" s="2" t="s">
        <v>37</v>
      </c>
      <c r="G783" s="3">
        <v>1597760</v>
      </c>
      <c r="H783" s="3">
        <v>1269178</v>
      </c>
      <c r="I783" s="2" t="s">
        <v>40</v>
      </c>
      <c r="J783" s="3">
        <f t="shared" si="12"/>
        <v>105764.83333333333</v>
      </c>
    </row>
    <row r="784" spans="1:10" x14ac:dyDescent="0.35">
      <c r="A784" s="2" t="s">
        <v>11</v>
      </c>
      <c r="B784" s="2" t="s">
        <v>16</v>
      </c>
      <c r="C784" s="2" t="s">
        <v>18</v>
      </c>
      <c r="D784" s="2" t="s">
        <v>28</v>
      </c>
      <c r="E784" s="2" t="s">
        <v>32</v>
      </c>
      <c r="F784" s="2" t="s">
        <v>38</v>
      </c>
      <c r="G784" s="3">
        <v>5218145</v>
      </c>
      <c r="H784" s="3">
        <v>3958245</v>
      </c>
      <c r="I784" s="2" t="s">
        <v>11</v>
      </c>
      <c r="J784" s="3">
        <f t="shared" si="12"/>
        <v>329853.75</v>
      </c>
    </row>
    <row r="785" spans="1:10" x14ac:dyDescent="0.35">
      <c r="A785" s="2" t="s">
        <v>13</v>
      </c>
      <c r="B785" s="2" t="s">
        <v>17</v>
      </c>
      <c r="C785" s="2" t="s">
        <v>18</v>
      </c>
      <c r="D785" s="2" t="s">
        <v>27</v>
      </c>
      <c r="E785" s="2" t="s">
        <v>34</v>
      </c>
      <c r="F785" s="2" t="s">
        <v>38</v>
      </c>
      <c r="G785" s="3">
        <v>1409799</v>
      </c>
      <c r="H785" s="3">
        <v>1002576</v>
      </c>
      <c r="I785" s="2" t="s">
        <v>9</v>
      </c>
      <c r="J785" s="3">
        <f t="shared" si="12"/>
        <v>83548</v>
      </c>
    </row>
    <row r="786" spans="1:10" x14ac:dyDescent="0.35">
      <c r="A786" s="2" t="s">
        <v>12</v>
      </c>
      <c r="B786" s="2" t="s">
        <v>16</v>
      </c>
      <c r="C786" s="2" t="s">
        <v>18</v>
      </c>
      <c r="D786" s="2" t="s">
        <v>28</v>
      </c>
      <c r="E786" s="2" t="s">
        <v>33</v>
      </c>
      <c r="F786" s="2" t="s">
        <v>36</v>
      </c>
      <c r="G786" s="3">
        <v>4965757</v>
      </c>
      <c r="H786" s="3">
        <v>3758653</v>
      </c>
      <c r="I786" s="2" t="s">
        <v>11</v>
      </c>
      <c r="J786" s="3">
        <f t="shared" si="12"/>
        <v>313221.08333333331</v>
      </c>
    </row>
    <row r="787" spans="1:10" x14ac:dyDescent="0.35">
      <c r="A787" s="2" t="s">
        <v>12</v>
      </c>
      <c r="B787" s="2" t="s">
        <v>15</v>
      </c>
      <c r="C787" s="2" t="s">
        <v>18</v>
      </c>
      <c r="D787" s="2" t="s">
        <v>21</v>
      </c>
      <c r="E787" s="2" t="s">
        <v>32</v>
      </c>
      <c r="F787" s="2" t="s">
        <v>36</v>
      </c>
      <c r="G787" s="3">
        <v>537951</v>
      </c>
      <c r="H787" s="3">
        <v>384032</v>
      </c>
      <c r="I787" s="2" t="s">
        <v>11</v>
      </c>
      <c r="J787" s="3">
        <f t="shared" si="12"/>
        <v>32002.666666666668</v>
      </c>
    </row>
    <row r="788" spans="1:10" x14ac:dyDescent="0.35">
      <c r="A788" s="2" t="s">
        <v>12</v>
      </c>
      <c r="B788" s="2" t="s">
        <v>16</v>
      </c>
      <c r="C788" s="2" t="s">
        <v>18</v>
      </c>
      <c r="D788" s="2" t="s">
        <v>20</v>
      </c>
      <c r="E788" s="2" t="s">
        <v>34</v>
      </c>
      <c r="F788" s="2" t="s">
        <v>37</v>
      </c>
      <c r="G788" s="3">
        <v>3394787</v>
      </c>
      <c r="H788" s="3">
        <v>2607450</v>
      </c>
      <c r="I788" s="2" t="s">
        <v>11</v>
      </c>
      <c r="J788" s="3">
        <f t="shared" si="12"/>
        <v>217287.5</v>
      </c>
    </row>
    <row r="789" spans="1:10" x14ac:dyDescent="0.35">
      <c r="A789" s="2" t="s">
        <v>12</v>
      </c>
      <c r="B789" s="2" t="s">
        <v>15</v>
      </c>
      <c r="C789" s="2" t="s">
        <v>19</v>
      </c>
      <c r="D789" s="2" t="s">
        <v>20</v>
      </c>
      <c r="E789" s="2" t="s">
        <v>35</v>
      </c>
      <c r="F789" s="2" t="s">
        <v>37</v>
      </c>
      <c r="G789" s="3">
        <v>889058</v>
      </c>
      <c r="H789" s="3">
        <v>650507</v>
      </c>
      <c r="I789" s="2" t="s">
        <v>11</v>
      </c>
      <c r="J789" s="3">
        <f t="shared" si="12"/>
        <v>54208.916666666664</v>
      </c>
    </row>
    <row r="790" spans="1:10" x14ac:dyDescent="0.35">
      <c r="A790" s="2" t="s">
        <v>10</v>
      </c>
      <c r="B790" s="2" t="s">
        <v>16</v>
      </c>
      <c r="C790" s="2" t="s">
        <v>19</v>
      </c>
      <c r="D790" s="2" t="s">
        <v>23</v>
      </c>
      <c r="E790" s="2" t="s">
        <v>30</v>
      </c>
      <c r="F790" s="2" t="s">
        <v>39</v>
      </c>
      <c r="G790" s="3">
        <v>4296237</v>
      </c>
      <c r="H790" s="3">
        <v>3166753</v>
      </c>
      <c r="I790" s="2" t="s">
        <v>40</v>
      </c>
      <c r="J790" s="3">
        <f t="shared" si="12"/>
        <v>263896.08333333331</v>
      </c>
    </row>
    <row r="791" spans="1:10" x14ac:dyDescent="0.35">
      <c r="A791" s="2" t="s">
        <v>11</v>
      </c>
      <c r="B791" s="2" t="s">
        <v>16</v>
      </c>
      <c r="C791" s="2" t="s">
        <v>19</v>
      </c>
      <c r="D791" s="2" t="s">
        <v>28</v>
      </c>
      <c r="E791" s="2" t="s">
        <v>29</v>
      </c>
      <c r="F791" s="2" t="s">
        <v>39</v>
      </c>
      <c r="G791" s="3">
        <v>5962296</v>
      </c>
      <c r="H791" s="3">
        <v>4207197</v>
      </c>
      <c r="I791" s="2" t="s">
        <v>11</v>
      </c>
      <c r="J791" s="3">
        <f t="shared" si="12"/>
        <v>350599.75</v>
      </c>
    </row>
    <row r="792" spans="1:10" x14ac:dyDescent="0.35">
      <c r="A792" s="2" t="s">
        <v>12</v>
      </c>
      <c r="B792" s="2" t="s">
        <v>15</v>
      </c>
      <c r="C792" s="2" t="s">
        <v>19</v>
      </c>
      <c r="D792" s="2" t="s">
        <v>26</v>
      </c>
      <c r="E792" s="2" t="s">
        <v>29</v>
      </c>
      <c r="F792" s="2" t="s">
        <v>37</v>
      </c>
      <c r="G792" s="3">
        <v>1092946</v>
      </c>
      <c r="H792" s="3">
        <v>880286</v>
      </c>
      <c r="I792" s="2" t="s">
        <v>11</v>
      </c>
      <c r="J792" s="3">
        <f t="shared" si="12"/>
        <v>73357.166666666672</v>
      </c>
    </row>
    <row r="793" spans="1:10" x14ac:dyDescent="0.35">
      <c r="A793" s="2" t="s">
        <v>12</v>
      </c>
      <c r="B793" s="2" t="s">
        <v>17</v>
      </c>
      <c r="C793" s="2" t="s">
        <v>18</v>
      </c>
      <c r="D793" s="2" t="s">
        <v>27</v>
      </c>
      <c r="E793" s="2" t="s">
        <v>30</v>
      </c>
      <c r="F793" s="2" t="s">
        <v>39</v>
      </c>
      <c r="G793" s="3">
        <v>2204845</v>
      </c>
      <c r="H793" s="3">
        <v>1728423</v>
      </c>
      <c r="I793" s="2" t="s">
        <v>11</v>
      </c>
      <c r="J793" s="3">
        <f t="shared" si="12"/>
        <v>144035.25</v>
      </c>
    </row>
    <row r="794" spans="1:10" x14ac:dyDescent="0.35">
      <c r="A794" s="2" t="s">
        <v>14</v>
      </c>
      <c r="B794" s="2" t="s">
        <v>16</v>
      </c>
      <c r="C794" s="2" t="s">
        <v>18</v>
      </c>
      <c r="D794" s="2" t="s">
        <v>25</v>
      </c>
      <c r="E794" s="2" t="s">
        <v>34</v>
      </c>
      <c r="F794" s="2" t="s">
        <v>37</v>
      </c>
      <c r="G794" s="3">
        <v>4010288</v>
      </c>
      <c r="H794" s="3">
        <v>3001195</v>
      </c>
      <c r="I794" s="2" t="s">
        <v>40</v>
      </c>
      <c r="J794" s="3">
        <f t="shared" si="12"/>
        <v>250099.58333333334</v>
      </c>
    </row>
    <row r="795" spans="1:10" x14ac:dyDescent="0.35">
      <c r="A795" s="2" t="s">
        <v>9</v>
      </c>
      <c r="B795" s="2" t="s">
        <v>16</v>
      </c>
      <c r="C795" s="2" t="s">
        <v>19</v>
      </c>
      <c r="D795" s="2" t="s">
        <v>23</v>
      </c>
      <c r="E795" s="2" t="s">
        <v>34</v>
      </c>
      <c r="F795" s="2" t="s">
        <v>37</v>
      </c>
      <c r="G795" s="3">
        <v>3280128</v>
      </c>
      <c r="H795" s="3">
        <v>2597844</v>
      </c>
      <c r="I795" s="2" t="s">
        <v>9</v>
      </c>
      <c r="J795" s="3">
        <f t="shared" si="12"/>
        <v>216487</v>
      </c>
    </row>
    <row r="796" spans="1:10" x14ac:dyDescent="0.35">
      <c r="A796" s="2" t="s">
        <v>12</v>
      </c>
      <c r="B796" s="2" t="s">
        <v>17</v>
      </c>
      <c r="C796" s="2" t="s">
        <v>19</v>
      </c>
      <c r="D796" s="2" t="s">
        <v>27</v>
      </c>
      <c r="E796" s="2" t="s">
        <v>30</v>
      </c>
      <c r="F796" s="2" t="s">
        <v>39</v>
      </c>
      <c r="G796" s="3">
        <v>2410266</v>
      </c>
      <c r="H796" s="3">
        <v>1843778</v>
      </c>
      <c r="I796" s="2" t="s">
        <v>11</v>
      </c>
      <c r="J796" s="3">
        <f t="shared" si="12"/>
        <v>153648.16666666666</v>
      </c>
    </row>
    <row r="797" spans="1:10" x14ac:dyDescent="0.35">
      <c r="A797" s="2" t="s">
        <v>9</v>
      </c>
      <c r="B797" s="2" t="s">
        <v>16</v>
      </c>
      <c r="C797" s="2" t="s">
        <v>18</v>
      </c>
      <c r="D797" s="2" t="s">
        <v>26</v>
      </c>
      <c r="E797" s="2" t="s">
        <v>32</v>
      </c>
      <c r="F797" s="2" t="s">
        <v>39</v>
      </c>
      <c r="G797" s="3">
        <v>2829608</v>
      </c>
      <c r="H797" s="3">
        <v>2271849</v>
      </c>
      <c r="I797" s="2" t="s">
        <v>9</v>
      </c>
      <c r="J797" s="3">
        <f t="shared" si="12"/>
        <v>189320.75</v>
      </c>
    </row>
    <row r="798" spans="1:10" x14ac:dyDescent="0.35">
      <c r="A798" s="2" t="s">
        <v>12</v>
      </c>
      <c r="B798" s="2" t="s">
        <v>17</v>
      </c>
      <c r="C798" s="2" t="s">
        <v>18</v>
      </c>
      <c r="D798" s="2" t="s">
        <v>21</v>
      </c>
      <c r="E798" s="2" t="s">
        <v>33</v>
      </c>
      <c r="F798" s="2" t="s">
        <v>36</v>
      </c>
      <c r="G798" s="3">
        <v>1663280</v>
      </c>
      <c r="H798" s="3">
        <v>1265559</v>
      </c>
      <c r="I798" s="2" t="s">
        <v>11</v>
      </c>
      <c r="J798" s="3">
        <f t="shared" si="12"/>
        <v>105463.25</v>
      </c>
    </row>
    <row r="799" spans="1:10" x14ac:dyDescent="0.35">
      <c r="A799" s="2" t="s">
        <v>13</v>
      </c>
      <c r="B799" s="2" t="s">
        <v>16</v>
      </c>
      <c r="C799" s="2" t="s">
        <v>18</v>
      </c>
      <c r="D799" s="2" t="s">
        <v>26</v>
      </c>
      <c r="E799" s="2" t="s">
        <v>31</v>
      </c>
      <c r="F799" s="2" t="s">
        <v>38</v>
      </c>
      <c r="G799" s="3">
        <v>4446196</v>
      </c>
      <c r="H799" s="3">
        <v>3211725</v>
      </c>
      <c r="I799" s="2" t="s">
        <v>9</v>
      </c>
      <c r="J799" s="3">
        <f t="shared" si="12"/>
        <v>267643.75</v>
      </c>
    </row>
    <row r="800" spans="1:10" x14ac:dyDescent="0.35">
      <c r="A800" s="2" t="s">
        <v>11</v>
      </c>
      <c r="B800" s="2" t="s">
        <v>15</v>
      </c>
      <c r="C800" s="2" t="s">
        <v>18</v>
      </c>
      <c r="D800" s="2" t="s">
        <v>28</v>
      </c>
      <c r="E800" s="2" t="s">
        <v>34</v>
      </c>
      <c r="F800" s="2" t="s">
        <v>36</v>
      </c>
      <c r="G800" s="3">
        <v>878837</v>
      </c>
      <c r="H800" s="3">
        <v>645543</v>
      </c>
      <c r="I800" s="2" t="s">
        <v>11</v>
      </c>
      <c r="J800" s="3">
        <f t="shared" si="12"/>
        <v>53795.25</v>
      </c>
    </row>
    <row r="801" spans="1:10" x14ac:dyDescent="0.35">
      <c r="A801" s="2" t="s">
        <v>14</v>
      </c>
      <c r="B801" s="2" t="s">
        <v>17</v>
      </c>
      <c r="C801" s="2" t="s">
        <v>18</v>
      </c>
      <c r="D801" s="2" t="s">
        <v>20</v>
      </c>
      <c r="E801" s="2" t="s">
        <v>34</v>
      </c>
      <c r="F801" s="2" t="s">
        <v>39</v>
      </c>
      <c r="G801" s="3">
        <v>2987531</v>
      </c>
      <c r="H801" s="3">
        <v>2133127</v>
      </c>
      <c r="I801" s="2" t="s">
        <v>40</v>
      </c>
      <c r="J801" s="3">
        <f t="shared" si="12"/>
        <v>177760.58333333334</v>
      </c>
    </row>
    <row r="802" spans="1:10" x14ac:dyDescent="0.35">
      <c r="A802" s="2" t="s">
        <v>9</v>
      </c>
      <c r="B802" s="2" t="s">
        <v>15</v>
      </c>
      <c r="C802" s="2" t="s">
        <v>18</v>
      </c>
      <c r="D802" s="2" t="s">
        <v>21</v>
      </c>
      <c r="E802" s="2" t="s">
        <v>31</v>
      </c>
      <c r="F802" s="2" t="s">
        <v>38</v>
      </c>
      <c r="G802" s="3">
        <v>505189</v>
      </c>
      <c r="H802" s="3">
        <v>390742</v>
      </c>
      <c r="I802" s="2" t="s">
        <v>9</v>
      </c>
      <c r="J802" s="3">
        <f t="shared" si="12"/>
        <v>32561.833333333332</v>
      </c>
    </row>
    <row r="803" spans="1:10" x14ac:dyDescent="0.35">
      <c r="A803" s="2" t="s">
        <v>9</v>
      </c>
      <c r="B803" s="2" t="s">
        <v>16</v>
      </c>
      <c r="C803" s="2" t="s">
        <v>19</v>
      </c>
      <c r="D803" s="2" t="s">
        <v>21</v>
      </c>
      <c r="E803" s="2" t="s">
        <v>29</v>
      </c>
      <c r="F803" s="2" t="s">
        <v>39</v>
      </c>
      <c r="G803" s="3">
        <v>3248727</v>
      </c>
      <c r="H803" s="3">
        <v>2411196</v>
      </c>
      <c r="I803" s="2" t="s">
        <v>9</v>
      </c>
      <c r="J803" s="3">
        <f t="shared" si="12"/>
        <v>200933</v>
      </c>
    </row>
    <row r="804" spans="1:10" x14ac:dyDescent="0.35">
      <c r="A804" s="2" t="s">
        <v>14</v>
      </c>
      <c r="B804" s="2" t="s">
        <v>15</v>
      </c>
      <c r="C804" s="2" t="s">
        <v>19</v>
      </c>
      <c r="D804" s="2" t="s">
        <v>26</v>
      </c>
      <c r="E804" s="2" t="s">
        <v>32</v>
      </c>
      <c r="F804" s="2" t="s">
        <v>36</v>
      </c>
      <c r="G804" s="3">
        <v>1142339</v>
      </c>
      <c r="H804" s="3">
        <v>848186</v>
      </c>
      <c r="I804" s="2" t="s">
        <v>40</v>
      </c>
      <c r="J804" s="3">
        <f t="shared" si="12"/>
        <v>70682.166666666672</v>
      </c>
    </row>
    <row r="805" spans="1:10" x14ac:dyDescent="0.35">
      <c r="A805" s="2" t="s">
        <v>9</v>
      </c>
      <c r="B805" s="2" t="s">
        <v>16</v>
      </c>
      <c r="C805" s="2" t="s">
        <v>18</v>
      </c>
      <c r="D805" s="2" t="s">
        <v>23</v>
      </c>
      <c r="E805" s="2" t="s">
        <v>35</v>
      </c>
      <c r="F805" s="2" t="s">
        <v>39</v>
      </c>
      <c r="G805" s="3">
        <v>3275568</v>
      </c>
      <c r="H805" s="3">
        <v>2479404</v>
      </c>
      <c r="I805" s="2" t="s">
        <v>9</v>
      </c>
      <c r="J805" s="3">
        <f t="shared" si="12"/>
        <v>206617</v>
      </c>
    </row>
    <row r="806" spans="1:10" x14ac:dyDescent="0.35">
      <c r="A806" s="2" t="s">
        <v>10</v>
      </c>
      <c r="B806" s="2" t="s">
        <v>16</v>
      </c>
      <c r="C806" s="2" t="s">
        <v>19</v>
      </c>
      <c r="D806" s="2" t="s">
        <v>22</v>
      </c>
      <c r="E806" s="2" t="s">
        <v>30</v>
      </c>
      <c r="F806" s="2" t="s">
        <v>37</v>
      </c>
      <c r="G806" s="3">
        <v>3508980</v>
      </c>
      <c r="H806" s="3">
        <v>2658346</v>
      </c>
      <c r="I806" s="2" t="s">
        <v>40</v>
      </c>
      <c r="J806" s="3">
        <f t="shared" si="12"/>
        <v>221528.83333333334</v>
      </c>
    </row>
    <row r="807" spans="1:10" x14ac:dyDescent="0.35">
      <c r="A807" s="2" t="s">
        <v>9</v>
      </c>
      <c r="B807" s="2" t="s">
        <v>16</v>
      </c>
      <c r="C807" s="2" t="s">
        <v>19</v>
      </c>
      <c r="D807" s="2" t="s">
        <v>22</v>
      </c>
      <c r="E807" s="2" t="s">
        <v>33</v>
      </c>
      <c r="F807" s="2" t="s">
        <v>37</v>
      </c>
      <c r="G807" s="3">
        <v>3459175</v>
      </c>
      <c r="H807" s="3">
        <v>2433406</v>
      </c>
      <c r="I807" s="2" t="s">
        <v>9</v>
      </c>
      <c r="J807" s="3">
        <f t="shared" si="12"/>
        <v>202783.83333333334</v>
      </c>
    </row>
    <row r="808" spans="1:10" x14ac:dyDescent="0.35">
      <c r="A808" s="2" t="s">
        <v>11</v>
      </c>
      <c r="B808" s="2" t="s">
        <v>15</v>
      </c>
      <c r="C808" s="2" t="s">
        <v>18</v>
      </c>
      <c r="D808" s="2" t="s">
        <v>24</v>
      </c>
      <c r="E808" s="2" t="s">
        <v>34</v>
      </c>
      <c r="F808" s="2" t="s">
        <v>36</v>
      </c>
      <c r="G808" s="3">
        <v>793483</v>
      </c>
      <c r="H808" s="3">
        <v>593714</v>
      </c>
      <c r="I808" s="2" t="s">
        <v>11</v>
      </c>
      <c r="J808" s="3">
        <f t="shared" si="12"/>
        <v>49476.166666666664</v>
      </c>
    </row>
    <row r="809" spans="1:10" x14ac:dyDescent="0.35">
      <c r="A809" s="2" t="s">
        <v>11</v>
      </c>
      <c r="B809" s="2" t="s">
        <v>16</v>
      </c>
      <c r="C809" s="2" t="s">
        <v>19</v>
      </c>
      <c r="D809" s="2" t="s">
        <v>23</v>
      </c>
      <c r="E809" s="2" t="s">
        <v>30</v>
      </c>
      <c r="F809" s="2" t="s">
        <v>38</v>
      </c>
      <c r="G809" s="3">
        <v>5162227</v>
      </c>
      <c r="H809" s="3">
        <v>4180632</v>
      </c>
      <c r="I809" s="2" t="s">
        <v>11</v>
      </c>
      <c r="J809" s="3">
        <f t="shared" si="12"/>
        <v>348386</v>
      </c>
    </row>
    <row r="810" spans="1:10" x14ac:dyDescent="0.35">
      <c r="A810" s="2" t="s">
        <v>13</v>
      </c>
      <c r="B810" s="2" t="s">
        <v>15</v>
      </c>
      <c r="C810" s="2" t="s">
        <v>18</v>
      </c>
      <c r="D810" s="2" t="s">
        <v>22</v>
      </c>
      <c r="E810" s="2" t="s">
        <v>35</v>
      </c>
      <c r="F810" s="2" t="s">
        <v>37</v>
      </c>
      <c r="G810" s="3">
        <v>861322</v>
      </c>
      <c r="H810" s="3">
        <v>628167</v>
      </c>
      <c r="I810" s="2" t="s">
        <v>9</v>
      </c>
      <c r="J810" s="3">
        <f t="shared" si="12"/>
        <v>52347.25</v>
      </c>
    </row>
    <row r="811" spans="1:10" x14ac:dyDescent="0.35">
      <c r="A811" s="2" t="s">
        <v>9</v>
      </c>
      <c r="B811" s="2" t="s">
        <v>17</v>
      </c>
      <c r="C811" s="2" t="s">
        <v>19</v>
      </c>
      <c r="D811" s="2" t="s">
        <v>25</v>
      </c>
      <c r="E811" s="2" t="s">
        <v>34</v>
      </c>
      <c r="F811" s="2" t="s">
        <v>39</v>
      </c>
      <c r="G811" s="3">
        <v>1178315</v>
      </c>
      <c r="H811" s="3">
        <v>842810</v>
      </c>
      <c r="I811" s="2" t="s">
        <v>9</v>
      </c>
      <c r="J811" s="3">
        <f t="shared" si="12"/>
        <v>70234.166666666672</v>
      </c>
    </row>
    <row r="812" spans="1:10" x14ac:dyDescent="0.35">
      <c r="A812" s="2" t="s">
        <v>13</v>
      </c>
      <c r="B812" s="2" t="s">
        <v>17</v>
      </c>
      <c r="C812" s="2" t="s">
        <v>18</v>
      </c>
      <c r="D812" s="2" t="s">
        <v>24</v>
      </c>
      <c r="E812" s="2" t="s">
        <v>32</v>
      </c>
      <c r="F812" s="2" t="s">
        <v>39</v>
      </c>
      <c r="G812" s="3">
        <v>1547681</v>
      </c>
      <c r="H812" s="3">
        <v>1262348</v>
      </c>
      <c r="I812" s="2" t="s">
        <v>9</v>
      </c>
      <c r="J812" s="3">
        <f t="shared" si="12"/>
        <v>105195.66666666667</v>
      </c>
    </row>
    <row r="813" spans="1:10" x14ac:dyDescent="0.35">
      <c r="A813" s="2" t="s">
        <v>14</v>
      </c>
      <c r="B813" s="2" t="s">
        <v>17</v>
      </c>
      <c r="C813" s="2" t="s">
        <v>19</v>
      </c>
      <c r="D813" s="2" t="s">
        <v>26</v>
      </c>
      <c r="E813" s="2" t="s">
        <v>29</v>
      </c>
      <c r="F813" s="2" t="s">
        <v>39</v>
      </c>
      <c r="G813" s="3">
        <v>2112492</v>
      </c>
      <c r="H813" s="3">
        <v>1606093</v>
      </c>
      <c r="I813" s="2" t="s">
        <v>40</v>
      </c>
      <c r="J813" s="3">
        <f t="shared" si="12"/>
        <v>133841.08333333334</v>
      </c>
    </row>
    <row r="814" spans="1:10" x14ac:dyDescent="0.35">
      <c r="A814" s="2" t="s">
        <v>12</v>
      </c>
      <c r="B814" s="2" t="s">
        <v>17</v>
      </c>
      <c r="C814" s="2" t="s">
        <v>18</v>
      </c>
      <c r="D814" s="2" t="s">
        <v>27</v>
      </c>
      <c r="E814" s="2" t="s">
        <v>33</v>
      </c>
      <c r="F814" s="2" t="s">
        <v>37</v>
      </c>
      <c r="G814" s="3">
        <v>1252401</v>
      </c>
      <c r="H814" s="3">
        <v>995896</v>
      </c>
      <c r="I814" s="2" t="s">
        <v>11</v>
      </c>
      <c r="J814" s="3">
        <f t="shared" si="12"/>
        <v>82991.333333333328</v>
      </c>
    </row>
    <row r="815" spans="1:10" x14ac:dyDescent="0.35">
      <c r="A815" s="2" t="s">
        <v>10</v>
      </c>
      <c r="B815" s="2" t="s">
        <v>16</v>
      </c>
      <c r="C815" s="2" t="s">
        <v>18</v>
      </c>
      <c r="D815" s="2" t="s">
        <v>24</v>
      </c>
      <c r="E815" s="2" t="s">
        <v>29</v>
      </c>
      <c r="F815" s="2" t="s">
        <v>39</v>
      </c>
      <c r="G815" s="3">
        <v>5297457</v>
      </c>
      <c r="H815" s="3">
        <v>4094847</v>
      </c>
      <c r="I815" s="2" t="s">
        <v>40</v>
      </c>
      <c r="J815" s="3">
        <f t="shared" si="12"/>
        <v>341237.25</v>
      </c>
    </row>
    <row r="816" spans="1:10" x14ac:dyDescent="0.35">
      <c r="A816" s="2" t="s">
        <v>10</v>
      </c>
      <c r="B816" s="2" t="s">
        <v>16</v>
      </c>
      <c r="C816" s="2" t="s">
        <v>18</v>
      </c>
      <c r="D816" s="2" t="s">
        <v>23</v>
      </c>
      <c r="E816" s="2" t="s">
        <v>33</v>
      </c>
      <c r="F816" s="2" t="s">
        <v>39</v>
      </c>
      <c r="G816" s="3">
        <v>6352084</v>
      </c>
      <c r="H816" s="3">
        <v>5087749</v>
      </c>
      <c r="I816" s="2" t="s">
        <v>40</v>
      </c>
      <c r="J816" s="3">
        <f t="shared" si="12"/>
        <v>423979.08333333331</v>
      </c>
    </row>
    <row r="817" spans="1:10" x14ac:dyDescent="0.35">
      <c r="A817" s="2" t="s">
        <v>10</v>
      </c>
      <c r="B817" s="2" t="s">
        <v>17</v>
      </c>
      <c r="C817" s="2" t="s">
        <v>18</v>
      </c>
      <c r="D817" s="2" t="s">
        <v>20</v>
      </c>
      <c r="E817" s="2" t="s">
        <v>34</v>
      </c>
      <c r="F817" s="2" t="s">
        <v>37</v>
      </c>
      <c r="G817" s="3">
        <v>2361556</v>
      </c>
      <c r="H817" s="3">
        <v>1806116</v>
      </c>
      <c r="I817" s="2" t="s">
        <v>40</v>
      </c>
      <c r="J817" s="3">
        <f t="shared" si="12"/>
        <v>150509.66666666666</v>
      </c>
    </row>
    <row r="818" spans="1:10" x14ac:dyDescent="0.35">
      <c r="A818" s="2" t="s">
        <v>13</v>
      </c>
      <c r="B818" s="2" t="s">
        <v>15</v>
      </c>
      <c r="C818" s="2" t="s">
        <v>18</v>
      </c>
      <c r="D818" s="2" t="s">
        <v>28</v>
      </c>
      <c r="E818" s="2" t="s">
        <v>32</v>
      </c>
      <c r="F818" s="2" t="s">
        <v>37</v>
      </c>
      <c r="G818" s="3">
        <v>1087922</v>
      </c>
      <c r="H818" s="3">
        <v>802195</v>
      </c>
      <c r="I818" s="2" t="s">
        <v>9</v>
      </c>
      <c r="J818" s="3">
        <f t="shared" si="12"/>
        <v>66849.583333333328</v>
      </c>
    </row>
    <row r="819" spans="1:10" x14ac:dyDescent="0.35">
      <c r="A819" s="2" t="s">
        <v>10</v>
      </c>
      <c r="B819" s="2" t="s">
        <v>15</v>
      </c>
      <c r="C819" s="2" t="s">
        <v>19</v>
      </c>
      <c r="D819" s="2" t="s">
        <v>24</v>
      </c>
      <c r="E819" s="2" t="s">
        <v>31</v>
      </c>
      <c r="F819" s="2" t="s">
        <v>39</v>
      </c>
      <c r="G819" s="3">
        <v>1593060</v>
      </c>
      <c r="H819" s="3">
        <v>1263982</v>
      </c>
      <c r="I819" s="2" t="s">
        <v>40</v>
      </c>
      <c r="J819" s="3">
        <f t="shared" si="12"/>
        <v>105331.83333333333</v>
      </c>
    </row>
    <row r="820" spans="1:10" x14ac:dyDescent="0.35">
      <c r="A820" s="2" t="s">
        <v>14</v>
      </c>
      <c r="B820" s="2" t="s">
        <v>16</v>
      </c>
      <c r="C820" s="2" t="s">
        <v>19</v>
      </c>
      <c r="D820" s="2" t="s">
        <v>23</v>
      </c>
      <c r="E820" s="2" t="s">
        <v>30</v>
      </c>
      <c r="F820" s="2" t="s">
        <v>36</v>
      </c>
      <c r="G820" s="3">
        <v>4503216</v>
      </c>
      <c r="H820" s="3">
        <v>3305180</v>
      </c>
      <c r="I820" s="2" t="s">
        <v>40</v>
      </c>
      <c r="J820" s="3">
        <f t="shared" si="12"/>
        <v>275431.66666666669</v>
      </c>
    </row>
    <row r="821" spans="1:10" x14ac:dyDescent="0.35">
      <c r="A821" s="2" t="s">
        <v>10</v>
      </c>
      <c r="B821" s="2" t="s">
        <v>15</v>
      </c>
      <c r="C821" s="2" t="s">
        <v>19</v>
      </c>
      <c r="D821" s="2" t="s">
        <v>28</v>
      </c>
      <c r="E821" s="2" t="s">
        <v>31</v>
      </c>
      <c r="F821" s="2" t="s">
        <v>37</v>
      </c>
      <c r="G821" s="3">
        <v>1316351</v>
      </c>
      <c r="H821" s="3">
        <v>983479</v>
      </c>
      <c r="I821" s="2" t="s">
        <v>40</v>
      </c>
      <c r="J821" s="3">
        <f t="shared" si="12"/>
        <v>81956.583333333328</v>
      </c>
    </row>
    <row r="822" spans="1:10" x14ac:dyDescent="0.35">
      <c r="A822" s="2" t="s">
        <v>11</v>
      </c>
      <c r="B822" s="2" t="s">
        <v>17</v>
      </c>
      <c r="C822" s="2" t="s">
        <v>19</v>
      </c>
      <c r="D822" s="2" t="s">
        <v>22</v>
      </c>
      <c r="E822" s="2" t="s">
        <v>33</v>
      </c>
      <c r="F822" s="2" t="s">
        <v>39</v>
      </c>
      <c r="G822" s="3">
        <v>2246442</v>
      </c>
      <c r="H822" s="3">
        <v>1615859</v>
      </c>
      <c r="I822" s="2" t="s">
        <v>11</v>
      </c>
      <c r="J822" s="3">
        <f t="shared" si="12"/>
        <v>134654.91666666666</v>
      </c>
    </row>
    <row r="823" spans="1:10" x14ac:dyDescent="0.35">
      <c r="A823" s="2" t="s">
        <v>12</v>
      </c>
      <c r="B823" s="2" t="s">
        <v>17</v>
      </c>
      <c r="C823" s="2" t="s">
        <v>19</v>
      </c>
      <c r="D823" s="2" t="s">
        <v>21</v>
      </c>
      <c r="E823" s="2" t="s">
        <v>29</v>
      </c>
      <c r="F823" s="2" t="s">
        <v>36</v>
      </c>
      <c r="G823" s="3">
        <v>2150930</v>
      </c>
      <c r="H823" s="3">
        <v>1706372</v>
      </c>
      <c r="I823" s="2" t="s">
        <v>11</v>
      </c>
      <c r="J823" s="3">
        <f t="shared" si="12"/>
        <v>142197.66666666666</v>
      </c>
    </row>
    <row r="824" spans="1:10" x14ac:dyDescent="0.35">
      <c r="A824" s="2" t="s">
        <v>13</v>
      </c>
      <c r="B824" s="2" t="s">
        <v>16</v>
      </c>
      <c r="C824" s="2" t="s">
        <v>19</v>
      </c>
      <c r="D824" s="2" t="s">
        <v>21</v>
      </c>
      <c r="E824" s="2" t="s">
        <v>34</v>
      </c>
      <c r="F824" s="2" t="s">
        <v>39</v>
      </c>
      <c r="G824" s="3">
        <v>2893868</v>
      </c>
      <c r="H824" s="3">
        <v>2350854</v>
      </c>
      <c r="I824" s="2" t="s">
        <v>9</v>
      </c>
      <c r="J824" s="3">
        <f t="shared" si="12"/>
        <v>195904.5</v>
      </c>
    </row>
    <row r="825" spans="1:10" x14ac:dyDescent="0.35">
      <c r="A825" s="2" t="s">
        <v>13</v>
      </c>
      <c r="B825" s="2" t="s">
        <v>15</v>
      </c>
      <c r="C825" s="2" t="s">
        <v>18</v>
      </c>
      <c r="D825" s="2" t="s">
        <v>28</v>
      </c>
      <c r="E825" s="2" t="s">
        <v>34</v>
      </c>
      <c r="F825" s="2" t="s">
        <v>36</v>
      </c>
      <c r="G825" s="3">
        <v>1189304</v>
      </c>
      <c r="H825" s="3">
        <v>834479</v>
      </c>
      <c r="I825" s="2" t="s">
        <v>9</v>
      </c>
      <c r="J825" s="3">
        <f t="shared" si="12"/>
        <v>69539.916666666672</v>
      </c>
    </row>
    <row r="826" spans="1:10" x14ac:dyDescent="0.35">
      <c r="A826" s="2" t="s">
        <v>9</v>
      </c>
      <c r="B826" s="2" t="s">
        <v>15</v>
      </c>
      <c r="C826" s="2" t="s">
        <v>18</v>
      </c>
      <c r="D826" s="2" t="s">
        <v>21</v>
      </c>
      <c r="E826" s="2" t="s">
        <v>30</v>
      </c>
      <c r="F826" s="2" t="s">
        <v>36</v>
      </c>
      <c r="G826" s="3">
        <v>783568</v>
      </c>
      <c r="H826" s="3">
        <v>566390</v>
      </c>
      <c r="I826" s="2" t="s">
        <v>9</v>
      </c>
      <c r="J826" s="3">
        <f t="shared" si="12"/>
        <v>47199.166666666664</v>
      </c>
    </row>
    <row r="827" spans="1:10" x14ac:dyDescent="0.35">
      <c r="A827" s="2" t="s">
        <v>12</v>
      </c>
      <c r="B827" s="2" t="s">
        <v>17</v>
      </c>
      <c r="C827" s="2" t="s">
        <v>18</v>
      </c>
      <c r="D827" s="2" t="s">
        <v>27</v>
      </c>
      <c r="E827" s="2" t="s">
        <v>34</v>
      </c>
      <c r="F827" s="2" t="s">
        <v>38</v>
      </c>
      <c r="G827" s="3">
        <v>1777034</v>
      </c>
      <c r="H827" s="3">
        <v>1316193</v>
      </c>
      <c r="I827" s="2" t="s">
        <v>11</v>
      </c>
      <c r="J827" s="3">
        <f t="shared" si="12"/>
        <v>109682.75</v>
      </c>
    </row>
    <row r="828" spans="1:10" x14ac:dyDescent="0.35">
      <c r="A828" s="2" t="s">
        <v>11</v>
      </c>
      <c r="B828" s="2" t="s">
        <v>16</v>
      </c>
      <c r="C828" s="2" t="s">
        <v>18</v>
      </c>
      <c r="D828" s="2" t="s">
        <v>28</v>
      </c>
      <c r="E828" s="2" t="s">
        <v>30</v>
      </c>
      <c r="F828" s="2" t="s">
        <v>36</v>
      </c>
      <c r="G828" s="3">
        <v>5900700</v>
      </c>
      <c r="H828" s="3">
        <v>4442779</v>
      </c>
      <c r="I828" s="2" t="s">
        <v>11</v>
      </c>
      <c r="J828" s="3">
        <f t="shared" si="12"/>
        <v>370231.58333333331</v>
      </c>
    </row>
    <row r="829" spans="1:10" x14ac:dyDescent="0.35">
      <c r="A829" s="2" t="s">
        <v>9</v>
      </c>
      <c r="B829" s="2" t="s">
        <v>15</v>
      </c>
      <c r="C829" s="2" t="s">
        <v>18</v>
      </c>
      <c r="D829" s="2" t="s">
        <v>21</v>
      </c>
      <c r="E829" s="2" t="s">
        <v>29</v>
      </c>
      <c r="F829" s="2" t="s">
        <v>39</v>
      </c>
      <c r="G829" s="3">
        <v>610977</v>
      </c>
      <c r="H829" s="3">
        <v>437003</v>
      </c>
      <c r="I829" s="2" t="s">
        <v>9</v>
      </c>
      <c r="J829" s="3">
        <f t="shared" si="12"/>
        <v>36416.916666666664</v>
      </c>
    </row>
    <row r="830" spans="1:10" x14ac:dyDescent="0.35">
      <c r="A830" s="2" t="s">
        <v>12</v>
      </c>
      <c r="B830" s="2" t="s">
        <v>16</v>
      </c>
      <c r="C830" s="2" t="s">
        <v>18</v>
      </c>
      <c r="D830" s="2" t="s">
        <v>21</v>
      </c>
      <c r="E830" s="2" t="s">
        <v>35</v>
      </c>
      <c r="F830" s="2" t="s">
        <v>38</v>
      </c>
      <c r="G830" s="3">
        <v>3396218</v>
      </c>
      <c r="H830" s="3">
        <v>2395176</v>
      </c>
      <c r="I830" s="2" t="s">
        <v>11</v>
      </c>
      <c r="J830" s="3">
        <f t="shared" si="12"/>
        <v>199598</v>
      </c>
    </row>
    <row r="831" spans="1:10" x14ac:dyDescent="0.35">
      <c r="A831" s="2" t="s">
        <v>10</v>
      </c>
      <c r="B831" s="2" t="s">
        <v>16</v>
      </c>
      <c r="C831" s="2" t="s">
        <v>18</v>
      </c>
      <c r="D831" s="2" t="s">
        <v>26</v>
      </c>
      <c r="E831" s="2" t="s">
        <v>31</v>
      </c>
      <c r="F831" s="2" t="s">
        <v>37</v>
      </c>
      <c r="G831" s="3">
        <v>4167211</v>
      </c>
      <c r="H831" s="3">
        <v>3014420</v>
      </c>
      <c r="I831" s="2" t="s">
        <v>40</v>
      </c>
      <c r="J831" s="3">
        <f t="shared" si="12"/>
        <v>251201.66666666666</v>
      </c>
    </row>
    <row r="832" spans="1:10" x14ac:dyDescent="0.35">
      <c r="A832" s="2" t="s">
        <v>13</v>
      </c>
      <c r="B832" s="2" t="s">
        <v>15</v>
      </c>
      <c r="C832" s="2" t="s">
        <v>18</v>
      </c>
      <c r="D832" s="2" t="s">
        <v>26</v>
      </c>
      <c r="E832" s="2" t="s">
        <v>32</v>
      </c>
      <c r="F832" s="2" t="s">
        <v>36</v>
      </c>
      <c r="G832" s="3">
        <v>824354</v>
      </c>
      <c r="H832" s="3">
        <v>628721</v>
      </c>
      <c r="I832" s="2" t="s">
        <v>9</v>
      </c>
      <c r="J832" s="3">
        <f t="shared" si="12"/>
        <v>52393.416666666664</v>
      </c>
    </row>
    <row r="833" spans="1:10" x14ac:dyDescent="0.35">
      <c r="A833" s="2" t="s">
        <v>10</v>
      </c>
      <c r="B833" s="2" t="s">
        <v>16</v>
      </c>
      <c r="C833" s="2" t="s">
        <v>18</v>
      </c>
      <c r="D833" s="2" t="s">
        <v>25</v>
      </c>
      <c r="E833" s="2" t="s">
        <v>35</v>
      </c>
      <c r="F833" s="2" t="s">
        <v>37</v>
      </c>
      <c r="G833" s="3">
        <v>5094705</v>
      </c>
      <c r="H833" s="3">
        <v>3825003</v>
      </c>
      <c r="I833" s="2" t="s">
        <v>40</v>
      </c>
      <c r="J833" s="3">
        <f t="shared" si="12"/>
        <v>318750.25</v>
      </c>
    </row>
    <row r="834" spans="1:10" x14ac:dyDescent="0.35">
      <c r="A834" s="2" t="s">
        <v>10</v>
      </c>
      <c r="B834" s="2" t="s">
        <v>15</v>
      </c>
      <c r="C834" s="2" t="s">
        <v>18</v>
      </c>
      <c r="D834" s="2" t="s">
        <v>24</v>
      </c>
      <c r="E834" s="2" t="s">
        <v>31</v>
      </c>
      <c r="F834" s="2" t="s">
        <v>37</v>
      </c>
      <c r="G834" s="3">
        <v>1425713</v>
      </c>
      <c r="H834" s="3">
        <v>1081890</v>
      </c>
      <c r="I834" s="2" t="s">
        <v>40</v>
      </c>
      <c r="J834" s="3">
        <f t="shared" si="12"/>
        <v>90157.5</v>
      </c>
    </row>
    <row r="835" spans="1:10" x14ac:dyDescent="0.35">
      <c r="A835" s="2" t="s">
        <v>12</v>
      </c>
      <c r="B835" s="2" t="s">
        <v>17</v>
      </c>
      <c r="C835" s="2" t="s">
        <v>19</v>
      </c>
      <c r="D835" s="2" t="s">
        <v>24</v>
      </c>
      <c r="E835" s="2" t="s">
        <v>31</v>
      </c>
      <c r="F835" s="2" t="s">
        <v>36</v>
      </c>
      <c r="G835" s="3">
        <v>1365422</v>
      </c>
      <c r="H835" s="3">
        <v>1109252</v>
      </c>
      <c r="I835" s="2" t="s">
        <v>11</v>
      </c>
      <c r="J835" s="3">
        <f t="shared" ref="J835:J898" si="13">H835/12</f>
        <v>92437.666666666672</v>
      </c>
    </row>
    <row r="836" spans="1:10" x14ac:dyDescent="0.35">
      <c r="A836" s="2" t="s">
        <v>14</v>
      </c>
      <c r="B836" s="2" t="s">
        <v>17</v>
      </c>
      <c r="C836" s="2" t="s">
        <v>19</v>
      </c>
      <c r="D836" s="2" t="s">
        <v>25</v>
      </c>
      <c r="E836" s="2" t="s">
        <v>32</v>
      </c>
      <c r="F836" s="2" t="s">
        <v>38</v>
      </c>
      <c r="G836" s="3">
        <v>2293278</v>
      </c>
      <c r="H836" s="3">
        <v>1685494</v>
      </c>
      <c r="I836" s="2" t="s">
        <v>40</v>
      </c>
      <c r="J836" s="3">
        <f t="shared" si="13"/>
        <v>140457.83333333334</v>
      </c>
    </row>
    <row r="837" spans="1:10" x14ac:dyDescent="0.35">
      <c r="A837" s="2" t="s">
        <v>13</v>
      </c>
      <c r="B837" s="2" t="s">
        <v>16</v>
      </c>
      <c r="C837" s="2" t="s">
        <v>19</v>
      </c>
      <c r="D837" s="2" t="s">
        <v>24</v>
      </c>
      <c r="E837" s="2" t="s">
        <v>33</v>
      </c>
      <c r="F837" s="2" t="s">
        <v>38</v>
      </c>
      <c r="G837" s="3">
        <v>4296344</v>
      </c>
      <c r="H837" s="3">
        <v>3013869</v>
      </c>
      <c r="I837" s="2" t="s">
        <v>9</v>
      </c>
      <c r="J837" s="3">
        <f t="shared" si="13"/>
        <v>251155.75</v>
      </c>
    </row>
    <row r="838" spans="1:10" x14ac:dyDescent="0.35">
      <c r="A838" s="2" t="s">
        <v>12</v>
      </c>
      <c r="B838" s="2" t="s">
        <v>17</v>
      </c>
      <c r="C838" s="2" t="s">
        <v>19</v>
      </c>
      <c r="D838" s="2" t="s">
        <v>25</v>
      </c>
      <c r="E838" s="2" t="s">
        <v>33</v>
      </c>
      <c r="F838" s="2" t="s">
        <v>37</v>
      </c>
      <c r="G838" s="3">
        <v>1247728</v>
      </c>
      <c r="H838" s="3">
        <v>975163</v>
      </c>
      <c r="I838" s="2" t="s">
        <v>11</v>
      </c>
      <c r="J838" s="3">
        <f t="shared" si="13"/>
        <v>81263.583333333328</v>
      </c>
    </row>
    <row r="839" spans="1:10" x14ac:dyDescent="0.35">
      <c r="A839" s="2" t="s">
        <v>14</v>
      </c>
      <c r="B839" s="2" t="s">
        <v>15</v>
      </c>
      <c r="C839" s="2" t="s">
        <v>19</v>
      </c>
      <c r="D839" s="2" t="s">
        <v>23</v>
      </c>
      <c r="E839" s="2" t="s">
        <v>35</v>
      </c>
      <c r="F839" s="2" t="s">
        <v>38</v>
      </c>
      <c r="G839" s="3">
        <v>1199731</v>
      </c>
      <c r="H839" s="3">
        <v>862003</v>
      </c>
      <c r="I839" s="2" t="s">
        <v>40</v>
      </c>
      <c r="J839" s="3">
        <f t="shared" si="13"/>
        <v>71833.583333333328</v>
      </c>
    </row>
    <row r="840" spans="1:10" x14ac:dyDescent="0.35">
      <c r="A840" s="2" t="s">
        <v>12</v>
      </c>
      <c r="B840" s="2" t="s">
        <v>15</v>
      </c>
      <c r="C840" s="2" t="s">
        <v>18</v>
      </c>
      <c r="D840" s="2" t="s">
        <v>25</v>
      </c>
      <c r="E840" s="2" t="s">
        <v>32</v>
      </c>
      <c r="F840" s="2" t="s">
        <v>39</v>
      </c>
      <c r="G840" s="3">
        <v>707300</v>
      </c>
      <c r="H840" s="3">
        <v>507353</v>
      </c>
      <c r="I840" s="2" t="s">
        <v>11</v>
      </c>
      <c r="J840" s="3">
        <f t="shared" si="13"/>
        <v>42279.416666666664</v>
      </c>
    </row>
    <row r="841" spans="1:10" x14ac:dyDescent="0.35">
      <c r="A841" s="2" t="s">
        <v>10</v>
      </c>
      <c r="B841" s="2" t="s">
        <v>15</v>
      </c>
      <c r="C841" s="2" t="s">
        <v>18</v>
      </c>
      <c r="D841" s="2" t="s">
        <v>27</v>
      </c>
      <c r="E841" s="2" t="s">
        <v>29</v>
      </c>
      <c r="F841" s="2" t="s">
        <v>37</v>
      </c>
      <c r="G841" s="3">
        <v>951928</v>
      </c>
      <c r="H841" s="3">
        <v>692350</v>
      </c>
      <c r="I841" s="2" t="s">
        <v>40</v>
      </c>
      <c r="J841" s="3">
        <f t="shared" si="13"/>
        <v>57695.833333333336</v>
      </c>
    </row>
    <row r="842" spans="1:10" x14ac:dyDescent="0.35">
      <c r="A842" s="2" t="s">
        <v>10</v>
      </c>
      <c r="B842" s="2" t="s">
        <v>15</v>
      </c>
      <c r="C842" s="2" t="s">
        <v>19</v>
      </c>
      <c r="D842" s="2" t="s">
        <v>25</v>
      </c>
      <c r="E842" s="2" t="s">
        <v>33</v>
      </c>
      <c r="F842" s="2" t="s">
        <v>38</v>
      </c>
      <c r="G842" s="3">
        <v>1184094</v>
      </c>
      <c r="H842" s="3">
        <v>938830</v>
      </c>
      <c r="I842" s="2" t="s">
        <v>40</v>
      </c>
      <c r="J842" s="3">
        <f t="shared" si="13"/>
        <v>78235.833333333328</v>
      </c>
    </row>
    <row r="843" spans="1:10" x14ac:dyDescent="0.35">
      <c r="A843" s="2" t="s">
        <v>13</v>
      </c>
      <c r="B843" s="2" t="s">
        <v>17</v>
      </c>
      <c r="C843" s="2" t="s">
        <v>19</v>
      </c>
      <c r="D843" s="2" t="s">
        <v>21</v>
      </c>
      <c r="E843" s="2" t="s">
        <v>31</v>
      </c>
      <c r="F843" s="2" t="s">
        <v>38</v>
      </c>
      <c r="G843" s="3">
        <v>1716570</v>
      </c>
      <c r="H843" s="3">
        <v>1231425</v>
      </c>
      <c r="I843" s="2" t="s">
        <v>9</v>
      </c>
      <c r="J843" s="3">
        <f t="shared" si="13"/>
        <v>102618.75</v>
      </c>
    </row>
    <row r="844" spans="1:10" x14ac:dyDescent="0.35">
      <c r="A844" s="2" t="s">
        <v>9</v>
      </c>
      <c r="B844" s="2" t="s">
        <v>16</v>
      </c>
      <c r="C844" s="2" t="s">
        <v>19</v>
      </c>
      <c r="D844" s="2" t="s">
        <v>28</v>
      </c>
      <c r="E844" s="2" t="s">
        <v>31</v>
      </c>
      <c r="F844" s="2" t="s">
        <v>38</v>
      </c>
      <c r="G844" s="3">
        <v>2965628</v>
      </c>
      <c r="H844" s="3">
        <v>2203330</v>
      </c>
      <c r="I844" s="2" t="s">
        <v>9</v>
      </c>
      <c r="J844" s="3">
        <f t="shared" si="13"/>
        <v>183610.83333333334</v>
      </c>
    </row>
    <row r="845" spans="1:10" x14ac:dyDescent="0.35">
      <c r="A845" s="2" t="s">
        <v>10</v>
      </c>
      <c r="B845" s="2" t="s">
        <v>16</v>
      </c>
      <c r="C845" s="2" t="s">
        <v>18</v>
      </c>
      <c r="D845" s="2" t="s">
        <v>22</v>
      </c>
      <c r="E845" s="2" t="s">
        <v>30</v>
      </c>
      <c r="F845" s="2" t="s">
        <v>37</v>
      </c>
      <c r="G845" s="3">
        <v>4624945</v>
      </c>
      <c r="H845" s="3">
        <v>3709156</v>
      </c>
      <c r="I845" s="2" t="s">
        <v>40</v>
      </c>
      <c r="J845" s="3">
        <f t="shared" si="13"/>
        <v>309096.33333333331</v>
      </c>
    </row>
    <row r="846" spans="1:10" x14ac:dyDescent="0.35">
      <c r="A846" s="2" t="s">
        <v>13</v>
      </c>
      <c r="B846" s="2" t="s">
        <v>17</v>
      </c>
      <c r="C846" s="2" t="s">
        <v>18</v>
      </c>
      <c r="D846" s="2" t="s">
        <v>20</v>
      </c>
      <c r="E846" s="2" t="s">
        <v>30</v>
      </c>
      <c r="F846" s="2" t="s">
        <v>36</v>
      </c>
      <c r="G846" s="3">
        <v>2372860</v>
      </c>
      <c r="H846" s="3">
        <v>1665616</v>
      </c>
      <c r="I846" s="2" t="s">
        <v>9</v>
      </c>
      <c r="J846" s="3">
        <f t="shared" si="13"/>
        <v>138801.33333333334</v>
      </c>
    </row>
    <row r="847" spans="1:10" x14ac:dyDescent="0.35">
      <c r="A847" s="2" t="s">
        <v>14</v>
      </c>
      <c r="B847" s="2" t="s">
        <v>17</v>
      </c>
      <c r="C847" s="2" t="s">
        <v>19</v>
      </c>
      <c r="D847" s="2" t="s">
        <v>20</v>
      </c>
      <c r="E847" s="2" t="s">
        <v>33</v>
      </c>
      <c r="F847" s="2" t="s">
        <v>37</v>
      </c>
      <c r="G847" s="3">
        <v>2779514</v>
      </c>
      <c r="H847" s="3">
        <v>2277099</v>
      </c>
      <c r="I847" s="2" t="s">
        <v>40</v>
      </c>
      <c r="J847" s="3">
        <f t="shared" si="13"/>
        <v>189758.25</v>
      </c>
    </row>
    <row r="848" spans="1:10" x14ac:dyDescent="0.35">
      <c r="A848" s="2" t="s">
        <v>13</v>
      </c>
      <c r="B848" s="2" t="s">
        <v>17</v>
      </c>
      <c r="C848" s="2" t="s">
        <v>18</v>
      </c>
      <c r="D848" s="2" t="s">
        <v>21</v>
      </c>
      <c r="E848" s="2" t="s">
        <v>35</v>
      </c>
      <c r="F848" s="2" t="s">
        <v>37</v>
      </c>
      <c r="G848" s="3">
        <v>1943863</v>
      </c>
      <c r="H848" s="3">
        <v>1552072</v>
      </c>
      <c r="I848" s="2" t="s">
        <v>9</v>
      </c>
      <c r="J848" s="3">
        <f t="shared" si="13"/>
        <v>129339.33333333333</v>
      </c>
    </row>
    <row r="849" spans="1:10" x14ac:dyDescent="0.35">
      <c r="A849" s="2" t="s">
        <v>11</v>
      </c>
      <c r="B849" s="2" t="s">
        <v>16</v>
      </c>
      <c r="C849" s="2" t="s">
        <v>18</v>
      </c>
      <c r="D849" s="2" t="s">
        <v>23</v>
      </c>
      <c r="E849" s="2" t="s">
        <v>35</v>
      </c>
      <c r="F849" s="2" t="s">
        <v>38</v>
      </c>
      <c r="G849" s="3">
        <v>5547558</v>
      </c>
      <c r="H849" s="3">
        <v>4344204</v>
      </c>
      <c r="I849" s="2" t="s">
        <v>11</v>
      </c>
      <c r="J849" s="3">
        <f t="shared" si="13"/>
        <v>362017</v>
      </c>
    </row>
    <row r="850" spans="1:10" x14ac:dyDescent="0.35">
      <c r="A850" s="2" t="s">
        <v>12</v>
      </c>
      <c r="B850" s="2" t="s">
        <v>17</v>
      </c>
      <c r="C850" s="2" t="s">
        <v>19</v>
      </c>
      <c r="D850" s="2" t="s">
        <v>26</v>
      </c>
      <c r="E850" s="2" t="s">
        <v>30</v>
      </c>
      <c r="F850" s="2" t="s">
        <v>36</v>
      </c>
      <c r="G850" s="3">
        <v>1474350</v>
      </c>
      <c r="H850" s="3">
        <v>1126812</v>
      </c>
      <c r="I850" s="2" t="s">
        <v>11</v>
      </c>
      <c r="J850" s="3">
        <f t="shared" si="13"/>
        <v>93901</v>
      </c>
    </row>
    <row r="851" spans="1:10" x14ac:dyDescent="0.35">
      <c r="A851" s="2" t="s">
        <v>12</v>
      </c>
      <c r="B851" s="2" t="s">
        <v>16</v>
      </c>
      <c r="C851" s="2" t="s">
        <v>18</v>
      </c>
      <c r="D851" s="2" t="s">
        <v>20</v>
      </c>
      <c r="E851" s="2" t="s">
        <v>29</v>
      </c>
      <c r="F851" s="2" t="s">
        <v>36</v>
      </c>
      <c r="G851" s="3">
        <v>2815035</v>
      </c>
      <c r="H851" s="3">
        <v>2066248</v>
      </c>
      <c r="I851" s="2" t="s">
        <v>11</v>
      </c>
      <c r="J851" s="3">
        <f t="shared" si="13"/>
        <v>172187.33333333334</v>
      </c>
    </row>
    <row r="852" spans="1:10" x14ac:dyDescent="0.35">
      <c r="A852" s="2" t="s">
        <v>14</v>
      </c>
      <c r="B852" s="2" t="s">
        <v>16</v>
      </c>
      <c r="C852" s="2" t="s">
        <v>19</v>
      </c>
      <c r="D852" s="2" t="s">
        <v>24</v>
      </c>
      <c r="E852" s="2" t="s">
        <v>34</v>
      </c>
      <c r="F852" s="2" t="s">
        <v>39</v>
      </c>
      <c r="G852" s="3">
        <v>5327330</v>
      </c>
      <c r="H852" s="3">
        <v>3999435</v>
      </c>
      <c r="I852" s="2" t="s">
        <v>40</v>
      </c>
      <c r="J852" s="3">
        <f t="shared" si="13"/>
        <v>333286.25</v>
      </c>
    </row>
    <row r="853" spans="1:10" x14ac:dyDescent="0.35">
      <c r="A853" s="2" t="s">
        <v>12</v>
      </c>
      <c r="B853" s="2" t="s">
        <v>16</v>
      </c>
      <c r="C853" s="2" t="s">
        <v>18</v>
      </c>
      <c r="D853" s="2" t="s">
        <v>21</v>
      </c>
      <c r="E853" s="2" t="s">
        <v>30</v>
      </c>
      <c r="F853" s="2" t="s">
        <v>37</v>
      </c>
      <c r="G853" s="3">
        <v>5211849</v>
      </c>
      <c r="H853" s="3">
        <v>3970994</v>
      </c>
      <c r="I853" s="2" t="s">
        <v>11</v>
      </c>
      <c r="J853" s="3">
        <f t="shared" si="13"/>
        <v>330916.16666666669</v>
      </c>
    </row>
    <row r="854" spans="1:10" x14ac:dyDescent="0.35">
      <c r="A854" s="2" t="s">
        <v>11</v>
      </c>
      <c r="B854" s="2" t="s">
        <v>16</v>
      </c>
      <c r="C854" s="2" t="s">
        <v>18</v>
      </c>
      <c r="D854" s="2" t="s">
        <v>26</v>
      </c>
      <c r="E854" s="2" t="s">
        <v>32</v>
      </c>
      <c r="F854" s="2" t="s">
        <v>38</v>
      </c>
      <c r="G854" s="3">
        <v>4135447</v>
      </c>
      <c r="H854" s="3">
        <v>3215661</v>
      </c>
      <c r="I854" s="2" t="s">
        <v>11</v>
      </c>
      <c r="J854" s="3">
        <f t="shared" si="13"/>
        <v>267971.75</v>
      </c>
    </row>
    <row r="855" spans="1:10" x14ac:dyDescent="0.35">
      <c r="A855" s="2" t="s">
        <v>14</v>
      </c>
      <c r="B855" s="2" t="s">
        <v>15</v>
      </c>
      <c r="C855" s="2" t="s">
        <v>19</v>
      </c>
      <c r="D855" s="2" t="s">
        <v>28</v>
      </c>
      <c r="E855" s="2" t="s">
        <v>32</v>
      </c>
      <c r="F855" s="2" t="s">
        <v>36</v>
      </c>
      <c r="G855" s="3">
        <v>849265</v>
      </c>
      <c r="H855" s="3">
        <v>634024</v>
      </c>
      <c r="I855" s="2" t="s">
        <v>40</v>
      </c>
      <c r="J855" s="3">
        <f t="shared" si="13"/>
        <v>52835.333333333336</v>
      </c>
    </row>
    <row r="856" spans="1:10" x14ac:dyDescent="0.35">
      <c r="A856" s="2" t="s">
        <v>13</v>
      </c>
      <c r="B856" s="2" t="s">
        <v>16</v>
      </c>
      <c r="C856" s="2" t="s">
        <v>18</v>
      </c>
      <c r="D856" s="2" t="s">
        <v>28</v>
      </c>
      <c r="E856" s="2" t="s">
        <v>33</v>
      </c>
      <c r="F856" s="2" t="s">
        <v>36</v>
      </c>
      <c r="G856" s="3">
        <v>4886663</v>
      </c>
      <c r="H856" s="3">
        <v>3694432</v>
      </c>
      <c r="I856" s="2" t="s">
        <v>9</v>
      </c>
      <c r="J856" s="3">
        <f t="shared" si="13"/>
        <v>307869.33333333331</v>
      </c>
    </row>
    <row r="857" spans="1:10" x14ac:dyDescent="0.35">
      <c r="A857" s="2" t="s">
        <v>13</v>
      </c>
      <c r="B857" s="2" t="s">
        <v>17</v>
      </c>
      <c r="C857" s="2" t="s">
        <v>18</v>
      </c>
      <c r="D857" s="2" t="s">
        <v>20</v>
      </c>
      <c r="E857" s="2" t="s">
        <v>34</v>
      </c>
      <c r="F857" s="2" t="s">
        <v>36</v>
      </c>
      <c r="G857" s="3">
        <v>1219274</v>
      </c>
      <c r="H857" s="3">
        <v>874661</v>
      </c>
      <c r="I857" s="2" t="s">
        <v>9</v>
      </c>
      <c r="J857" s="3">
        <f t="shared" si="13"/>
        <v>72888.416666666672</v>
      </c>
    </row>
    <row r="858" spans="1:10" x14ac:dyDescent="0.35">
      <c r="A858" s="2" t="s">
        <v>12</v>
      </c>
      <c r="B858" s="2" t="s">
        <v>16</v>
      </c>
      <c r="C858" s="2" t="s">
        <v>19</v>
      </c>
      <c r="D858" s="2" t="s">
        <v>23</v>
      </c>
      <c r="E858" s="2" t="s">
        <v>34</v>
      </c>
      <c r="F858" s="2" t="s">
        <v>36</v>
      </c>
      <c r="G858" s="3">
        <v>3949897</v>
      </c>
      <c r="H858" s="3">
        <v>3176547</v>
      </c>
      <c r="I858" s="2" t="s">
        <v>11</v>
      </c>
      <c r="J858" s="3">
        <f t="shared" si="13"/>
        <v>264712.25</v>
      </c>
    </row>
    <row r="859" spans="1:10" x14ac:dyDescent="0.35">
      <c r="A859" s="2" t="s">
        <v>14</v>
      </c>
      <c r="B859" s="2" t="s">
        <v>16</v>
      </c>
      <c r="C859" s="2" t="s">
        <v>19</v>
      </c>
      <c r="D859" s="2" t="s">
        <v>21</v>
      </c>
      <c r="E859" s="2" t="s">
        <v>34</v>
      </c>
      <c r="F859" s="2" t="s">
        <v>39</v>
      </c>
      <c r="G859" s="3">
        <v>5138599</v>
      </c>
      <c r="H859" s="3">
        <v>4152855</v>
      </c>
      <c r="I859" s="2" t="s">
        <v>40</v>
      </c>
      <c r="J859" s="3">
        <f t="shared" si="13"/>
        <v>346071.25</v>
      </c>
    </row>
    <row r="860" spans="1:10" x14ac:dyDescent="0.35">
      <c r="A860" s="2" t="s">
        <v>13</v>
      </c>
      <c r="B860" s="2" t="s">
        <v>15</v>
      </c>
      <c r="C860" s="2" t="s">
        <v>18</v>
      </c>
      <c r="D860" s="2" t="s">
        <v>20</v>
      </c>
      <c r="E860" s="2" t="s">
        <v>32</v>
      </c>
      <c r="F860" s="2" t="s">
        <v>39</v>
      </c>
      <c r="G860" s="3">
        <v>900764</v>
      </c>
      <c r="H860" s="3">
        <v>679785</v>
      </c>
      <c r="I860" s="2" t="s">
        <v>9</v>
      </c>
      <c r="J860" s="3">
        <f t="shared" si="13"/>
        <v>56648.75</v>
      </c>
    </row>
    <row r="861" spans="1:10" x14ac:dyDescent="0.35">
      <c r="A861" s="2" t="s">
        <v>12</v>
      </c>
      <c r="B861" s="2" t="s">
        <v>16</v>
      </c>
      <c r="C861" s="2" t="s">
        <v>19</v>
      </c>
      <c r="D861" s="2" t="s">
        <v>22</v>
      </c>
      <c r="E861" s="2" t="s">
        <v>35</v>
      </c>
      <c r="F861" s="2" t="s">
        <v>37</v>
      </c>
      <c r="G861" s="3">
        <v>3588426</v>
      </c>
      <c r="H861" s="3">
        <v>2605106</v>
      </c>
      <c r="I861" s="2" t="s">
        <v>11</v>
      </c>
      <c r="J861" s="3">
        <f t="shared" si="13"/>
        <v>217092.16666666666</v>
      </c>
    </row>
    <row r="862" spans="1:10" x14ac:dyDescent="0.35">
      <c r="A862" s="2" t="s">
        <v>13</v>
      </c>
      <c r="B862" s="2" t="s">
        <v>16</v>
      </c>
      <c r="C862" s="2" t="s">
        <v>19</v>
      </c>
      <c r="D862" s="2" t="s">
        <v>21</v>
      </c>
      <c r="E862" s="2" t="s">
        <v>33</v>
      </c>
      <c r="F862" s="2" t="s">
        <v>38</v>
      </c>
      <c r="G862" s="3">
        <v>3439295</v>
      </c>
      <c r="H862" s="3">
        <v>2643853</v>
      </c>
      <c r="I862" s="2" t="s">
        <v>9</v>
      </c>
      <c r="J862" s="3">
        <f t="shared" si="13"/>
        <v>220321.08333333334</v>
      </c>
    </row>
    <row r="863" spans="1:10" x14ac:dyDescent="0.35">
      <c r="A863" s="2" t="s">
        <v>10</v>
      </c>
      <c r="B863" s="2" t="s">
        <v>15</v>
      </c>
      <c r="C863" s="2" t="s">
        <v>19</v>
      </c>
      <c r="D863" s="2" t="s">
        <v>28</v>
      </c>
      <c r="E863" s="2" t="s">
        <v>33</v>
      </c>
      <c r="F863" s="2" t="s">
        <v>39</v>
      </c>
      <c r="G863" s="3">
        <v>1291082</v>
      </c>
      <c r="H863" s="3">
        <v>910018</v>
      </c>
      <c r="I863" s="2" t="s">
        <v>40</v>
      </c>
      <c r="J863" s="3">
        <f t="shared" si="13"/>
        <v>75834.833333333328</v>
      </c>
    </row>
    <row r="864" spans="1:10" x14ac:dyDescent="0.35">
      <c r="A864" s="2" t="s">
        <v>10</v>
      </c>
      <c r="B864" s="2" t="s">
        <v>16</v>
      </c>
      <c r="C864" s="2" t="s">
        <v>19</v>
      </c>
      <c r="D864" s="2" t="s">
        <v>27</v>
      </c>
      <c r="E864" s="2" t="s">
        <v>32</v>
      </c>
      <c r="F864" s="2" t="s">
        <v>36</v>
      </c>
      <c r="G864" s="3">
        <v>4180442</v>
      </c>
      <c r="H864" s="3">
        <v>3095137</v>
      </c>
      <c r="I864" s="2" t="s">
        <v>40</v>
      </c>
      <c r="J864" s="3">
        <f t="shared" si="13"/>
        <v>257928.08333333334</v>
      </c>
    </row>
    <row r="865" spans="1:10" x14ac:dyDescent="0.35">
      <c r="A865" s="2" t="s">
        <v>10</v>
      </c>
      <c r="B865" s="2" t="s">
        <v>17</v>
      </c>
      <c r="C865" s="2" t="s">
        <v>19</v>
      </c>
      <c r="D865" s="2" t="s">
        <v>23</v>
      </c>
      <c r="E865" s="2" t="s">
        <v>31</v>
      </c>
      <c r="F865" s="2" t="s">
        <v>39</v>
      </c>
      <c r="G865" s="3">
        <v>2159077</v>
      </c>
      <c r="H865" s="3">
        <v>1764110</v>
      </c>
      <c r="I865" s="2" t="s">
        <v>40</v>
      </c>
      <c r="J865" s="3">
        <f t="shared" si="13"/>
        <v>147009.16666666666</v>
      </c>
    </row>
    <row r="866" spans="1:10" x14ac:dyDescent="0.35">
      <c r="A866" s="2" t="s">
        <v>11</v>
      </c>
      <c r="B866" s="2" t="s">
        <v>17</v>
      </c>
      <c r="C866" s="2" t="s">
        <v>18</v>
      </c>
      <c r="D866" s="2" t="s">
        <v>21</v>
      </c>
      <c r="E866" s="2" t="s">
        <v>31</v>
      </c>
      <c r="F866" s="2" t="s">
        <v>37</v>
      </c>
      <c r="G866" s="3">
        <v>2091626</v>
      </c>
      <c r="H866" s="3">
        <v>1663523</v>
      </c>
      <c r="I866" s="2" t="s">
        <v>11</v>
      </c>
      <c r="J866" s="3">
        <f t="shared" si="13"/>
        <v>138626.91666666666</v>
      </c>
    </row>
    <row r="867" spans="1:10" x14ac:dyDescent="0.35">
      <c r="A867" s="2" t="s">
        <v>11</v>
      </c>
      <c r="B867" s="2" t="s">
        <v>15</v>
      </c>
      <c r="C867" s="2" t="s">
        <v>18</v>
      </c>
      <c r="D867" s="2" t="s">
        <v>25</v>
      </c>
      <c r="E867" s="2" t="s">
        <v>30</v>
      </c>
      <c r="F867" s="2" t="s">
        <v>37</v>
      </c>
      <c r="G867" s="3">
        <v>688632</v>
      </c>
      <c r="H867" s="3">
        <v>539653</v>
      </c>
      <c r="I867" s="2" t="s">
        <v>11</v>
      </c>
      <c r="J867" s="3">
        <f t="shared" si="13"/>
        <v>44971.083333333336</v>
      </c>
    </row>
    <row r="868" spans="1:10" x14ac:dyDescent="0.35">
      <c r="A868" s="2" t="s">
        <v>13</v>
      </c>
      <c r="B868" s="2" t="s">
        <v>15</v>
      </c>
      <c r="C868" s="2" t="s">
        <v>18</v>
      </c>
      <c r="D868" s="2" t="s">
        <v>25</v>
      </c>
      <c r="E868" s="2" t="s">
        <v>29</v>
      </c>
      <c r="F868" s="2" t="s">
        <v>39</v>
      </c>
      <c r="G868" s="3">
        <v>824363</v>
      </c>
      <c r="H868" s="3">
        <v>665506</v>
      </c>
      <c r="I868" s="2" t="s">
        <v>9</v>
      </c>
      <c r="J868" s="3">
        <f t="shared" si="13"/>
        <v>55458.833333333336</v>
      </c>
    </row>
    <row r="869" spans="1:10" x14ac:dyDescent="0.35">
      <c r="A869" s="2" t="s">
        <v>12</v>
      </c>
      <c r="B869" s="2" t="s">
        <v>16</v>
      </c>
      <c r="C869" s="2" t="s">
        <v>18</v>
      </c>
      <c r="D869" s="2" t="s">
        <v>28</v>
      </c>
      <c r="E869" s="2" t="s">
        <v>34</v>
      </c>
      <c r="F869" s="2" t="s">
        <v>36</v>
      </c>
      <c r="G869" s="3">
        <v>3196433</v>
      </c>
      <c r="H869" s="3">
        <v>2342710</v>
      </c>
      <c r="I869" s="2" t="s">
        <v>11</v>
      </c>
      <c r="J869" s="3">
        <f t="shared" si="13"/>
        <v>195225.83333333334</v>
      </c>
    </row>
    <row r="870" spans="1:10" x14ac:dyDescent="0.35">
      <c r="A870" s="2" t="s">
        <v>13</v>
      </c>
      <c r="B870" s="2" t="s">
        <v>17</v>
      </c>
      <c r="C870" s="2" t="s">
        <v>19</v>
      </c>
      <c r="D870" s="2" t="s">
        <v>24</v>
      </c>
      <c r="E870" s="2" t="s">
        <v>30</v>
      </c>
      <c r="F870" s="2" t="s">
        <v>36</v>
      </c>
      <c r="G870" s="3">
        <v>1229046</v>
      </c>
      <c r="H870" s="3">
        <v>912709</v>
      </c>
      <c r="I870" s="2" t="s">
        <v>9</v>
      </c>
      <c r="J870" s="3">
        <f t="shared" si="13"/>
        <v>76059.083333333328</v>
      </c>
    </row>
    <row r="871" spans="1:10" x14ac:dyDescent="0.35">
      <c r="A871" s="2" t="s">
        <v>13</v>
      </c>
      <c r="B871" s="2" t="s">
        <v>16</v>
      </c>
      <c r="C871" s="2" t="s">
        <v>18</v>
      </c>
      <c r="D871" s="2" t="s">
        <v>24</v>
      </c>
      <c r="E871" s="2" t="s">
        <v>34</v>
      </c>
      <c r="F871" s="2" t="s">
        <v>38</v>
      </c>
      <c r="G871" s="3">
        <v>4250187</v>
      </c>
      <c r="H871" s="3">
        <v>3160987</v>
      </c>
      <c r="I871" s="2" t="s">
        <v>9</v>
      </c>
      <c r="J871" s="3">
        <f t="shared" si="13"/>
        <v>263415.58333333331</v>
      </c>
    </row>
    <row r="872" spans="1:10" x14ac:dyDescent="0.35">
      <c r="A872" s="2" t="s">
        <v>10</v>
      </c>
      <c r="B872" s="2" t="s">
        <v>16</v>
      </c>
      <c r="C872" s="2" t="s">
        <v>19</v>
      </c>
      <c r="D872" s="2" t="s">
        <v>21</v>
      </c>
      <c r="E872" s="2" t="s">
        <v>34</v>
      </c>
      <c r="F872" s="2" t="s">
        <v>37</v>
      </c>
      <c r="G872" s="3">
        <v>3311413</v>
      </c>
      <c r="H872" s="3">
        <v>2323240</v>
      </c>
      <c r="I872" s="2" t="s">
        <v>40</v>
      </c>
      <c r="J872" s="3">
        <f t="shared" si="13"/>
        <v>193603.33333333334</v>
      </c>
    </row>
    <row r="873" spans="1:10" x14ac:dyDescent="0.35">
      <c r="A873" s="2" t="s">
        <v>11</v>
      </c>
      <c r="B873" s="2" t="s">
        <v>16</v>
      </c>
      <c r="C873" s="2" t="s">
        <v>18</v>
      </c>
      <c r="D873" s="2" t="s">
        <v>28</v>
      </c>
      <c r="E873" s="2" t="s">
        <v>29</v>
      </c>
      <c r="F873" s="2" t="s">
        <v>38</v>
      </c>
      <c r="G873" s="3">
        <v>2751233</v>
      </c>
      <c r="H873" s="3">
        <v>2220240</v>
      </c>
      <c r="I873" s="2" t="s">
        <v>11</v>
      </c>
      <c r="J873" s="3">
        <f t="shared" si="13"/>
        <v>185020</v>
      </c>
    </row>
    <row r="874" spans="1:10" x14ac:dyDescent="0.35">
      <c r="A874" s="2" t="s">
        <v>10</v>
      </c>
      <c r="B874" s="2" t="s">
        <v>15</v>
      </c>
      <c r="C874" s="2" t="s">
        <v>19</v>
      </c>
      <c r="D874" s="2" t="s">
        <v>28</v>
      </c>
      <c r="E874" s="2" t="s">
        <v>34</v>
      </c>
      <c r="F874" s="2" t="s">
        <v>37</v>
      </c>
      <c r="G874" s="3">
        <v>1482388</v>
      </c>
      <c r="H874" s="3">
        <v>1086145</v>
      </c>
      <c r="I874" s="2" t="s">
        <v>40</v>
      </c>
      <c r="J874" s="3">
        <f t="shared" si="13"/>
        <v>90512.083333333328</v>
      </c>
    </row>
    <row r="875" spans="1:10" x14ac:dyDescent="0.35">
      <c r="A875" s="2" t="s">
        <v>9</v>
      </c>
      <c r="B875" s="2" t="s">
        <v>16</v>
      </c>
      <c r="C875" s="2" t="s">
        <v>19</v>
      </c>
      <c r="D875" s="2" t="s">
        <v>20</v>
      </c>
      <c r="E875" s="2" t="s">
        <v>33</v>
      </c>
      <c r="F875" s="2" t="s">
        <v>39</v>
      </c>
      <c r="G875" s="3">
        <v>3307358</v>
      </c>
      <c r="H875" s="3">
        <v>2553488</v>
      </c>
      <c r="I875" s="2" t="s">
        <v>9</v>
      </c>
      <c r="J875" s="3">
        <f t="shared" si="13"/>
        <v>212790.66666666666</v>
      </c>
    </row>
    <row r="876" spans="1:10" x14ac:dyDescent="0.35">
      <c r="A876" s="2" t="s">
        <v>10</v>
      </c>
      <c r="B876" s="2" t="s">
        <v>17</v>
      </c>
      <c r="C876" s="2" t="s">
        <v>19</v>
      </c>
      <c r="D876" s="2" t="s">
        <v>24</v>
      </c>
      <c r="E876" s="2" t="s">
        <v>29</v>
      </c>
      <c r="F876" s="2" t="s">
        <v>39</v>
      </c>
      <c r="G876" s="3">
        <v>2309372</v>
      </c>
      <c r="H876" s="3">
        <v>1718585</v>
      </c>
      <c r="I876" s="2" t="s">
        <v>40</v>
      </c>
      <c r="J876" s="3">
        <f t="shared" si="13"/>
        <v>143215.41666666666</v>
      </c>
    </row>
    <row r="877" spans="1:10" x14ac:dyDescent="0.35">
      <c r="A877" s="2" t="s">
        <v>13</v>
      </c>
      <c r="B877" s="2" t="s">
        <v>16</v>
      </c>
      <c r="C877" s="2" t="s">
        <v>18</v>
      </c>
      <c r="D877" s="2" t="s">
        <v>22</v>
      </c>
      <c r="E877" s="2" t="s">
        <v>35</v>
      </c>
      <c r="F877" s="2" t="s">
        <v>39</v>
      </c>
      <c r="G877" s="3">
        <v>4164225</v>
      </c>
      <c r="H877" s="3">
        <v>3137706</v>
      </c>
      <c r="I877" s="2" t="s">
        <v>9</v>
      </c>
      <c r="J877" s="3">
        <f t="shared" si="13"/>
        <v>261475.5</v>
      </c>
    </row>
    <row r="878" spans="1:10" x14ac:dyDescent="0.35">
      <c r="A878" s="2" t="s">
        <v>14</v>
      </c>
      <c r="B878" s="2" t="s">
        <v>16</v>
      </c>
      <c r="C878" s="2" t="s">
        <v>19</v>
      </c>
      <c r="D878" s="2" t="s">
        <v>21</v>
      </c>
      <c r="E878" s="2" t="s">
        <v>30</v>
      </c>
      <c r="F878" s="2" t="s">
        <v>39</v>
      </c>
      <c r="G878" s="3">
        <v>5359169</v>
      </c>
      <c r="H878" s="3">
        <v>4146240</v>
      </c>
      <c r="I878" s="2" t="s">
        <v>40</v>
      </c>
      <c r="J878" s="3">
        <f t="shared" si="13"/>
        <v>345520</v>
      </c>
    </row>
    <row r="879" spans="1:10" x14ac:dyDescent="0.35">
      <c r="A879" s="2" t="s">
        <v>13</v>
      </c>
      <c r="B879" s="2" t="s">
        <v>16</v>
      </c>
      <c r="C879" s="2" t="s">
        <v>19</v>
      </c>
      <c r="D879" s="2" t="s">
        <v>28</v>
      </c>
      <c r="E879" s="2" t="s">
        <v>34</v>
      </c>
      <c r="F879" s="2" t="s">
        <v>37</v>
      </c>
      <c r="G879" s="3">
        <v>2702510</v>
      </c>
      <c r="H879" s="3">
        <v>2185881</v>
      </c>
      <c r="I879" s="2" t="s">
        <v>9</v>
      </c>
      <c r="J879" s="3">
        <f t="shared" si="13"/>
        <v>182156.75</v>
      </c>
    </row>
    <row r="880" spans="1:10" x14ac:dyDescent="0.35">
      <c r="A880" s="2" t="s">
        <v>12</v>
      </c>
      <c r="B880" s="2" t="s">
        <v>15</v>
      </c>
      <c r="C880" s="2" t="s">
        <v>19</v>
      </c>
      <c r="D880" s="2" t="s">
        <v>24</v>
      </c>
      <c r="E880" s="2" t="s">
        <v>33</v>
      </c>
      <c r="F880" s="2" t="s">
        <v>37</v>
      </c>
      <c r="G880" s="3">
        <v>926400</v>
      </c>
      <c r="H880" s="3">
        <v>757350</v>
      </c>
      <c r="I880" s="2" t="s">
        <v>11</v>
      </c>
      <c r="J880" s="3">
        <f t="shared" si="13"/>
        <v>63112.5</v>
      </c>
    </row>
    <row r="881" spans="1:10" x14ac:dyDescent="0.35">
      <c r="A881" s="2" t="s">
        <v>9</v>
      </c>
      <c r="B881" s="2" t="s">
        <v>16</v>
      </c>
      <c r="C881" s="2" t="s">
        <v>18</v>
      </c>
      <c r="D881" s="2" t="s">
        <v>28</v>
      </c>
      <c r="E881" s="2" t="s">
        <v>31</v>
      </c>
      <c r="F881" s="2" t="s">
        <v>36</v>
      </c>
      <c r="G881" s="3">
        <v>2620917</v>
      </c>
      <c r="H881" s="3">
        <v>2120357</v>
      </c>
      <c r="I881" s="2" t="s">
        <v>9</v>
      </c>
      <c r="J881" s="3">
        <f t="shared" si="13"/>
        <v>176696.41666666666</v>
      </c>
    </row>
    <row r="882" spans="1:10" x14ac:dyDescent="0.35">
      <c r="A882" s="2" t="s">
        <v>10</v>
      </c>
      <c r="B882" s="2" t="s">
        <v>17</v>
      </c>
      <c r="C882" s="2" t="s">
        <v>18</v>
      </c>
      <c r="D882" s="2" t="s">
        <v>28</v>
      </c>
      <c r="E882" s="2" t="s">
        <v>33</v>
      </c>
      <c r="F882" s="2" t="s">
        <v>38</v>
      </c>
      <c r="G882" s="3">
        <v>2596110</v>
      </c>
      <c r="H882" s="3">
        <v>2056718</v>
      </c>
      <c r="I882" s="2" t="s">
        <v>40</v>
      </c>
      <c r="J882" s="3">
        <f t="shared" si="13"/>
        <v>171393.16666666666</v>
      </c>
    </row>
    <row r="883" spans="1:10" x14ac:dyDescent="0.35">
      <c r="A883" s="2" t="s">
        <v>11</v>
      </c>
      <c r="B883" s="2" t="s">
        <v>16</v>
      </c>
      <c r="C883" s="2" t="s">
        <v>18</v>
      </c>
      <c r="D883" s="2" t="s">
        <v>24</v>
      </c>
      <c r="E883" s="2" t="s">
        <v>30</v>
      </c>
      <c r="F883" s="2" t="s">
        <v>37</v>
      </c>
      <c r="G883" s="3">
        <v>5198748</v>
      </c>
      <c r="H883" s="3">
        <v>4178364</v>
      </c>
      <c r="I883" s="2" t="s">
        <v>11</v>
      </c>
      <c r="J883" s="3">
        <f t="shared" si="13"/>
        <v>348197</v>
      </c>
    </row>
    <row r="884" spans="1:10" x14ac:dyDescent="0.35">
      <c r="A884" s="2" t="s">
        <v>11</v>
      </c>
      <c r="B884" s="2" t="s">
        <v>17</v>
      </c>
      <c r="C884" s="2" t="s">
        <v>18</v>
      </c>
      <c r="D884" s="2" t="s">
        <v>22</v>
      </c>
      <c r="E884" s="2" t="s">
        <v>32</v>
      </c>
      <c r="F884" s="2" t="s">
        <v>36</v>
      </c>
      <c r="G884" s="3">
        <v>1427847</v>
      </c>
      <c r="H884" s="3">
        <v>1147693</v>
      </c>
      <c r="I884" s="2" t="s">
        <v>11</v>
      </c>
      <c r="J884" s="3">
        <f t="shared" si="13"/>
        <v>95641.083333333328</v>
      </c>
    </row>
    <row r="885" spans="1:10" x14ac:dyDescent="0.35">
      <c r="A885" s="2" t="s">
        <v>14</v>
      </c>
      <c r="B885" s="2" t="s">
        <v>17</v>
      </c>
      <c r="C885" s="2" t="s">
        <v>18</v>
      </c>
      <c r="D885" s="2" t="s">
        <v>27</v>
      </c>
      <c r="E885" s="2" t="s">
        <v>34</v>
      </c>
      <c r="F885" s="2" t="s">
        <v>39</v>
      </c>
      <c r="G885" s="3">
        <v>2640146</v>
      </c>
      <c r="H885" s="3">
        <v>2003926</v>
      </c>
      <c r="I885" s="2" t="s">
        <v>40</v>
      </c>
      <c r="J885" s="3">
        <f t="shared" si="13"/>
        <v>166993.83333333334</v>
      </c>
    </row>
    <row r="886" spans="1:10" x14ac:dyDescent="0.35">
      <c r="A886" s="2" t="s">
        <v>9</v>
      </c>
      <c r="B886" s="2" t="s">
        <v>16</v>
      </c>
      <c r="C886" s="2" t="s">
        <v>19</v>
      </c>
      <c r="D886" s="2" t="s">
        <v>25</v>
      </c>
      <c r="E886" s="2" t="s">
        <v>30</v>
      </c>
      <c r="F886" s="2" t="s">
        <v>38</v>
      </c>
      <c r="G886" s="3">
        <v>3497986</v>
      </c>
      <c r="H886" s="3">
        <v>2619453</v>
      </c>
      <c r="I886" s="2" t="s">
        <v>9</v>
      </c>
      <c r="J886" s="3">
        <f t="shared" si="13"/>
        <v>218287.75</v>
      </c>
    </row>
    <row r="887" spans="1:10" x14ac:dyDescent="0.35">
      <c r="A887" s="2" t="s">
        <v>13</v>
      </c>
      <c r="B887" s="2" t="s">
        <v>16</v>
      </c>
      <c r="C887" s="2" t="s">
        <v>19</v>
      </c>
      <c r="D887" s="2" t="s">
        <v>20</v>
      </c>
      <c r="E887" s="2" t="s">
        <v>29</v>
      </c>
      <c r="F887" s="2" t="s">
        <v>37</v>
      </c>
      <c r="G887" s="3">
        <v>4061502</v>
      </c>
      <c r="H887" s="3">
        <v>3114706</v>
      </c>
      <c r="I887" s="2" t="s">
        <v>9</v>
      </c>
      <c r="J887" s="3">
        <f t="shared" si="13"/>
        <v>259558.83333333334</v>
      </c>
    </row>
    <row r="888" spans="1:10" x14ac:dyDescent="0.35">
      <c r="A888" s="2" t="s">
        <v>11</v>
      </c>
      <c r="B888" s="2" t="s">
        <v>15</v>
      </c>
      <c r="C888" s="2" t="s">
        <v>18</v>
      </c>
      <c r="D888" s="2" t="s">
        <v>27</v>
      </c>
      <c r="E888" s="2" t="s">
        <v>35</v>
      </c>
      <c r="F888" s="2" t="s">
        <v>39</v>
      </c>
      <c r="G888" s="3">
        <v>1199336</v>
      </c>
      <c r="H888" s="3">
        <v>858563</v>
      </c>
      <c r="I888" s="2" t="s">
        <v>11</v>
      </c>
      <c r="J888" s="3">
        <f t="shared" si="13"/>
        <v>71546.916666666672</v>
      </c>
    </row>
    <row r="889" spans="1:10" x14ac:dyDescent="0.35">
      <c r="A889" s="2" t="s">
        <v>12</v>
      </c>
      <c r="B889" s="2" t="s">
        <v>15</v>
      </c>
      <c r="C889" s="2" t="s">
        <v>19</v>
      </c>
      <c r="D889" s="2" t="s">
        <v>26</v>
      </c>
      <c r="E889" s="2" t="s">
        <v>31</v>
      </c>
      <c r="F889" s="2" t="s">
        <v>39</v>
      </c>
      <c r="G889" s="3">
        <v>661144</v>
      </c>
      <c r="H889" s="3">
        <v>486658</v>
      </c>
      <c r="I889" s="2" t="s">
        <v>11</v>
      </c>
      <c r="J889" s="3">
        <f t="shared" si="13"/>
        <v>40554.833333333336</v>
      </c>
    </row>
    <row r="890" spans="1:10" x14ac:dyDescent="0.35">
      <c r="A890" s="2" t="s">
        <v>10</v>
      </c>
      <c r="B890" s="2" t="s">
        <v>17</v>
      </c>
      <c r="C890" s="2" t="s">
        <v>18</v>
      </c>
      <c r="D890" s="2" t="s">
        <v>27</v>
      </c>
      <c r="E890" s="2" t="s">
        <v>32</v>
      </c>
      <c r="F890" s="2" t="s">
        <v>38</v>
      </c>
      <c r="G890" s="3">
        <v>1681899</v>
      </c>
      <c r="H890" s="3">
        <v>1282060</v>
      </c>
      <c r="I890" s="2" t="s">
        <v>40</v>
      </c>
      <c r="J890" s="3">
        <f t="shared" si="13"/>
        <v>106838.33333333333</v>
      </c>
    </row>
    <row r="891" spans="1:10" x14ac:dyDescent="0.35">
      <c r="A891" s="2" t="s">
        <v>13</v>
      </c>
      <c r="B891" s="2" t="s">
        <v>15</v>
      </c>
      <c r="C891" s="2" t="s">
        <v>19</v>
      </c>
      <c r="D891" s="2" t="s">
        <v>25</v>
      </c>
      <c r="E891" s="2" t="s">
        <v>30</v>
      </c>
      <c r="F891" s="2" t="s">
        <v>37</v>
      </c>
      <c r="G891" s="3">
        <v>607029</v>
      </c>
      <c r="H891" s="3">
        <v>491445</v>
      </c>
      <c r="I891" s="2" t="s">
        <v>9</v>
      </c>
      <c r="J891" s="3">
        <f t="shared" si="13"/>
        <v>40953.75</v>
      </c>
    </row>
    <row r="892" spans="1:10" x14ac:dyDescent="0.35">
      <c r="A892" s="2" t="s">
        <v>12</v>
      </c>
      <c r="B892" s="2" t="s">
        <v>16</v>
      </c>
      <c r="C892" s="2" t="s">
        <v>18</v>
      </c>
      <c r="D892" s="2" t="s">
        <v>24</v>
      </c>
      <c r="E892" s="2" t="s">
        <v>33</v>
      </c>
      <c r="F892" s="2" t="s">
        <v>36</v>
      </c>
      <c r="G892" s="3">
        <v>3306641</v>
      </c>
      <c r="H892" s="3">
        <v>2631926</v>
      </c>
      <c r="I892" s="2" t="s">
        <v>11</v>
      </c>
      <c r="J892" s="3">
        <f t="shared" si="13"/>
        <v>219327.16666666666</v>
      </c>
    </row>
    <row r="893" spans="1:10" x14ac:dyDescent="0.35">
      <c r="A893" s="2" t="s">
        <v>9</v>
      </c>
      <c r="B893" s="2" t="s">
        <v>17</v>
      </c>
      <c r="C893" s="2" t="s">
        <v>18</v>
      </c>
      <c r="D893" s="2" t="s">
        <v>21</v>
      </c>
      <c r="E893" s="2" t="s">
        <v>31</v>
      </c>
      <c r="F893" s="2" t="s">
        <v>36</v>
      </c>
      <c r="G893" s="3">
        <v>1551968</v>
      </c>
      <c r="H893" s="3">
        <v>1261412</v>
      </c>
      <c r="I893" s="2" t="s">
        <v>9</v>
      </c>
      <c r="J893" s="3">
        <f t="shared" si="13"/>
        <v>105117.66666666667</v>
      </c>
    </row>
    <row r="894" spans="1:10" x14ac:dyDescent="0.35">
      <c r="A894" s="2" t="s">
        <v>14</v>
      </c>
      <c r="B894" s="2" t="s">
        <v>15</v>
      </c>
      <c r="C894" s="2" t="s">
        <v>18</v>
      </c>
      <c r="D894" s="2" t="s">
        <v>21</v>
      </c>
      <c r="E894" s="2" t="s">
        <v>31</v>
      </c>
      <c r="F894" s="2" t="s">
        <v>36</v>
      </c>
      <c r="G894" s="3">
        <v>687815</v>
      </c>
      <c r="H894" s="3">
        <v>488946</v>
      </c>
      <c r="I894" s="2" t="s">
        <v>40</v>
      </c>
      <c r="J894" s="3">
        <f t="shared" si="13"/>
        <v>40745.5</v>
      </c>
    </row>
    <row r="895" spans="1:10" x14ac:dyDescent="0.35">
      <c r="A895" s="2" t="s">
        <v>13</v>
      </c>
      <c r="B895" s="2" t="s">
        <v>17</v>
      </c>
      <c r="C895" s="2" t="s">
        <v>19</v>
      </c>
      <c r="D895" s="2" t="s">
        <v>27</v>
      </c>
      <c r="E895" s="2" t="s">
        <v>32</v>
      </c>
      <c r="F895" s="2" t="s">
        <v>37</v>
      </c>
      <c r="G895" s="3">
        <v>1404899</v>
      </c>
      <c r="H895" s="3">
        <v>1110854</v>
      </c>
      <c r="I895" s="2" t="s">
        <v>9</v>
      </c>
      <c r="J895" s="3">
        <f t="shared" si="13"/>
        <v>92571.166666666672</v>
      </c>
    </row>
    <row r="896" spans="1:10" x14ac:dyDescent="0.35">
      <c r="A896" s="2" t="s">
        <v>12</v>
      </c>
      <c r="B896" s="2" t="s">
        <v>15</v>
      </c>
      <c r="C896" s="2" t="s">
        <v>18</v>
      </c>
      <c r="D896" s="2" t="s">
        <v>20</v>
      </c>
      <c r="E896" s="2" t="s">
        <v>35</v>
      </c>
      <c r="F896" s="2" t="s">
        <v>38</v>
      </c>
      <c r="G896" s="3">
        <v>631497</v>
      </c>
      <c r="H896" s="3">
        <v>486279</v>
      </c>
      <c r="I896" s="2" t="s">
        <v>11</v>
      </c>
      <c r="J896" s="3">
        <f t="shared" si="13"/>
        <v>40523.25</v>
      </c>
    </row>
    <row r="897" spans="1:10" x14ac:dyDescent="0.35">
      <c r="A897" s="2" t="s">
        <v>10</v>
      </c>
      <c r="B897" s="2" t="s">
        <v>16</v>
      </c>
      <c r="C897" s="2" t="s">
        <v>19</v>
      </c>
      <c r="D897" s="2" t="s">
        <v>25</v>
      </c>
      <c r="E897" s="2" t="s">
        <v>31</v>
      </c>
      <c r="F897" s="2" t="s">
        <v>39</v>
      </c>
      <c r="G897" s="3">
        <v>3657089</v>
      </c>
      <c r="H897" s="3">
        <v>2871628</v>
      </c>
      <c r="I897" s="2" t="s">
        <v>40</v>
      </c>
      <c r="J897" s="3">
        <f t="shared" si="13"/>
        <v>239302.33333333334</v>
      </c>
    </row>
    <row r="898" spans="1:10" x14ac:dyDescent="0.35">
      <c r="A898" s="2" t="s">
        <v>12</v>
      </c>
      <c r="B898" s="2" t="s">
        <v>17</v>
      </c>
      <c r="C898" s="2" t="s">
        <v>19</v>
      </c>
      <c r="D898" s="2" t="s">
        <v>25</v>
      </c>
      <c r="E898" s="2" t="s">
        <v>29</v>
      </c>
      <c r="F898" s="2" t="s">
        <v>36</v>
      </c>
      <c r="G898" s="3">
        <v>2007421</v>
      </c>
      <c r="H898" s="3">
        <v>1416820</v>
      </c>
      <c r="I898" s="2" t="s">
        <v>11</v>
      </c>
      <c r="J898" s="3">
        <f t="shared" si="13"/>
        <v>118068.33333333333</v>
      </c>
    </row>
    <row r="899" spans="1:10" x14ac:dyDescent="0.35">
      <c r="A899" s="2" t="s">
        <v>14</v>
      </c>
      <c r="B899" s="2" t="s">
        <v>16</v>
      </c>
      <c r="C899" s="2" t="s">
        <v>18</v>
      </c>
      <c r="D899" s="2" t="s">
        <v>25</v>
      </c>
      <c r="E899" s="2" t="s">
        <v>29</v>
      </c>
      <c r="F899" s="2" t="s">
        <v>39</v>
      </c>
      <c r="G899" s="3">
        <v>6051349</v>
      </c>
      <c r="H899" s="3">
        <v>4924724</v>
      </c>
      <c r="I899" s="2" t="s">
        <v>40</v>
      </c>
      <c r="J899" s="3">
        <f t="shared" ref="J899:J962" si="14">H899/12</f>
        <v>410393.66666666669</v>
      </c>
    </row>
    <row r="900" spans="1:10" x14ac:dyDescent="0.35">
      <c r="A900" s="2" t="s">
        <v>12</v>
      </c>
      <c r="B900" s="2" t="s">
        <v>17</v>
      </c>
      <c r="C900" s="2" t="s">
        <v>18</v>
      </c>
      <c r="D900" s="2" t="s">
        <v>22</v>
      </c>
      <c r="E900" s="2" t="s">
        <v>32</v>
      </c>
      <c r="F900" s="2" t="s">
        <v>38</v>
      </c>
      <c r="G900" s="3">
        <v>2111110</v>
      </c>
      <c r="H900" s="3">
        <v>1697730</v>
      </c>
      <c r="I900" s="2" t="s">
        <v>11</v>
      </c>
      <c r="J900" s="3">
        <f t="shared" si="14"/>
        <v>141477.5</v>
      </c>
    </row>
    <row r="901" spans="1:10" x14ac:dyDescent="0.35">
      <c r="A901" s="2" t="s">
        <v>13</v>
      </c>
      <c r="B901" s="2" t="s">
        <v>16</v>
      </c>
      <c r="C901" s="2" t="s">
        <v>18</v>
      </c>
      <c r="D901" s="2" t="s">
        <v>26</v>
      </c>
      <c r="E901" s="2" t="s">
        <v>35</v>
      </c>
      <c r="F901" s="2" t="s">
        <v>36</v>
      </c>
      <c r="G901" s="3">
        <v>3840356</v>
      </c>
      <c r="H901" s="3">
        <v>2845409</v>
      </c>
      <c r="I901" s="2" t="s">
        <v>9</v>
      </c>
      <c r="J901" s="3">
        <f t="shared" si="14"/>
        <v>237117.41666666666</v>
      </c>
    </row>
    <row r="902" spans="1:10" x14ac:dyDescent="0.35">
      <c r="A902" s="2" t="s">
        <v>12</v>
      </c>
      <c r="B902" s="2" t="s">
        <v>15</v>
      </c>
      <c r="C902" s="2" t="s">
        <v>18</v>
      </c>
      <c r="D902" s="2" t="s">
        <v>28</v>
      </c>
      <c r="E902" s="2" t="s">
        <v>33</v>
      </c>
      <c r="F902" s="2" t="s">
        <v>39</v>
      </c>
      <c r="G902" s="3">
        <v>735924</v>
      </c>
      <c r="H902" s="3">
        <v>535040</v>
      </c>
      <c r="I902" s="2" t="s">
        <v>11</v>
      </c>
      <c r="J902" s="3">
        <f t="shared" si="14"/>
        <v>44586.666666666664</v>
      </c>
    </row>
    <row r="903" spans="1:10" x14ac:dyDescent="0.35">
      <c r="A903" s="2" t="s">
        <v>12</v>
      </c>
      <c r="B903" s="2" t="s">
        <v>17</v>
      </c>
      <c r="C903" s="2" t="s">
        <v>18</v>
      </c>
      <c r="D903" s="2" t="s">
        <v>24</v>
      </c>
      <c r="E903" s="2" t="s">
        <v>31</v>
      </c>
      <c r="F903" s="2" t="s">
        <v>39</v>
      </c>
      <c r="G903" s="3">
        <v>1522682</v>
      </c>
      <c r="H903" s="3">
        <v>1156819</v>
      </c>
      <c r="I903" s="2" t="s">
        <v>11</v>
      </c>
      <c r="J903" s="3">
        <f t="shared" si="14"/>
        <v>96401.583333333328</v>
      </c>
    </row>
    <row r="904" spans="1:10" x14ac:dyDescent="0.35">
      <c r="A904" s="2" t="s">
        <v>13</v>
      </c>
      <c r="B904" s="2" t="s">
        <v>16</v>
      </c>
      <c r="C904" s="2" t="s">
        <v>18</v>
      </c>
      <c r="D904" s="2" t="s">
        <v>20</v>
      </c>
      <c r="E904" s="2" t="s">
        <v>29</v>
      </c>
      <c r="F904" s="2" t="s">
        <v>39</v>
      </c>
      <c r="G904" s="3">
        <v>3151175</v>
      </c>
      <c r="H904" s="3">
        <v>2307848</v>
      </c>
      <c r="I904" s="2" t="s">
        <v>9</v>
      </c>
      <c r="J904" s="3">
        <f t="shared" si="14"/>
        <v>192320.66666666666</v>
      </c>
    </row>
    <row r="905" spans="1:10" x14ac:dyDescent="0.35">
      <c r="A905" s="2" t="s">
        <v>11</v>
      </c>
      <c r="B905" s="2" t="s">
        <v>15</v>
      </c>
      <c r="C905" s="2" t="s">
        <v>19</v>
      </c>
      <c r="D905" s="2" t="s">
        <v>27</v>
      </c>
      <c r="E905" s="2" t="s">
        <v>34</v>
      </c>
      <c r="F905" s="2" t="s">
        <v>37</v>
      </c>
      <c r="G905" s="3">
        <v>1194589</v>
      </c>
      <c r="H905" s="3">
        <v>940316</v>
      </c>
      <c r="I905" s="2" t="s">
        <v>11</v>
      </c>
      <c r="J905" s="3">
        <f t="shared" si="14"/>
        <v>78359.666666666672</v>
      </c>
    </row>
    <row r="906" spans="1:10" x14ac:dyDescent="0.35">
      <c r="A906" s="2" t="s">
        <v>13</v>
      </c>
      <c r="B906" s="2" t="s">
        <v>17</v>
      </c>
      <c r="C906" s="2" t="s">
        <v>19</v>
      </c>
      <c r="D906" s="2" t="s">
        <v>23</v>
      </c>
      <c r="E906" s="2" t="s">
        <v>32</v>
      </c>
      <c r="F906" s="2" t="s">
        <v>37</v>
      </c>
      <c r="G906" s="3">
        <v>1959464</v>
      </c>
      <c r="H906" s="3">
        <v>1506060</v>
      </c>
      <c r="I906" s="2" t="s">
        <v>9</v>
      </c>
      <c r="J906" s="3">
        <f t="shared" si="14"/>
        <v>125505</v>
      </c>
    </row>
    <row r="907" spans="1:10" x14ac:dyDescent="0.35">
      <c r="A907" s="2" t="s">
        <v>13</v>
      </c>
      <c r="B907" s="2" t="s">
        <v>16</v>
      </c>
      <c r="C907" s="2" t="s">
        <v>18</v>
      </c>
      <c r="D907" s="2" t="s">
        <v>22</v>
      </c>
      <c r="E907" s="2" t="s">
        <v>35</v>
      </c>
      <c r="F907" s="2" t="s">
        <v>38</v>
      </c>
      <c r="G907" s="3">
        <v>3322370</v>
      </c>
      <c r="H907" s="3">
        <v>2518678</v>
      </c>
      <c r="I907" s="2" t="s">
        <v>9</v>
      </c>
      <c r="J907" s="3">
        <f t="shared" si="14"/>
        <v>209889.83333333334</v>
      </c>
    </row>
    <row r="908" spans="1:10" x14ac:dyDescent="0.35">
      <c r="A908" s="2" t="s">
        <v>9</v>
      </c>
      <c r="B908" s="2" t="s">
        <v>15</v>
      </c>
      <c r="C908" s="2" t="s">
        <v>19</v>
      </c>
      <c r="D908" s="2" t="s">
        <v>21</v>
      </c>
      <c r="E908" s="2" t="s">
        <v>29</v>
      </c>
      <c r="F908" s="2" t="s">
        <v>38</v>
      </c>
      <c r="G908" s="3">
        <v>479360</v>
      </c>
      <c r="H908" s="3">
        <v>378862</v>
      </c>
      <c r="I908" s="2" t="s">
        <v>9</v>
      </c>
      <c r="J908" s="3">
        <f t="shared" si="14"/>
        <v>31571.833333333332</v>
      </c>
    </row>
    <row r="909" spans="1:10" x14ac:dyDescent="0.35">
      <c r="A909" s="2" t="s">
        <v>10</v>
      </c>
      <c r="B909" s="2" t="s">
        <v>16</v>
      </c>
      <c r="C909" s="2" t="s">
        <v>18</v>
      </c>
      <c r="D909" s="2" t="s">
        <v>26</v>
      </c>
      <c r="E909" s="2" t="s">
        <v>33</v>
      </c>
      <c r="F909" s="2" t="s">
        <v>38</v>
      </c>
      <c r="G909" s="3">
        <v>5976542</v>
      </c>
      <c r="H909" s="3">
        <v>4394058</v>
      </c>
      <c r="I909" s="2" t="s">
        <v>40</v>
      </c>
      <c r="J909" s="3">
        <f t="shared" si="14"/>
        <v>366171.5</v>
      </c>
    </row>
    <row r="910" spans="1:10" x14ac:dyDescent="0.35">
      <c r="A910" s="2" t="s">
        <v>11</v>
      </c>
      <c r="B910" s="2" t="s">
        <v>15</v>
      </c>
      <c r="C910" s="2" t="s">
        <v>19</v>
      </c>
      <c r="D910" s="2" t="s">
        <v>21</v>
      </c>
      <c r="E910" s="2" t="s">
        <v>35</v>
      </c>
      <c r="F910" s="2" t="s">
        <v>39</v>
      </c>
      <c r="G910" s="3">
        <v>720980</v>
      </c>
      <c r="H910" s="3">
        <v>572024</v>
      </c>
      <c r="I910" s="2" t="s">
        <v>11</v>
      </c>
      <c r="J910" s="3">
        <f t="shared" si="14"/>
        <v>47668.666666666664</v>
      </c>
    </row>
    <row r="911" spans="1:10" x14ac:dyDescent="0.35">
      <c r="A911" s="2" t="s">
        <v>9</v>
      </c>
      <c r="B911" s="2" t="s">
        <v>16</v>
      </c>
      <c r="C911" s="2" t="s">
        <v>19</v>
      </c>
      <c r="D911" s="2" t="s">
        <v>26</v>
      </c>
      <c r="E911" s="2" t="s">
        <v>33</v>
      </c>
      <c r="F911" s="2" t="s">
        <v>37</v>
      </c>
      <c r="G911" s="3">
        <v>3416292</v>
      </c>
      <c r="H911" s="3">
        <v>2669966</v>
      </c>
      <c r="I911" s="2" t="s">
        <v>9</v>
      </c>
      <c r="J911" s="3">
        <f t="shared" si="14"/>
        <v>222497.16666666666</v>
      </c>
    </row>
    <row r="912" spans="1:10" x14ac:dyDescent="0.35">
      <c r="A912" s="2" t="s">
        <v>12</v>
      </c>
      <c r="B912" s="2" t="s">
        <v>16</v>
      </c>
      <c r="C912" s="2" t="s">
        <v>18</v>
      </c>
      <c r="D912" s="2" t="s">
        <v>27</v>
      </c>
      <c r="E912" s="2" t="s">
        <v>32</v>
      </c>
      <c r="F912" s="2" t="s">
        <v>38</v>
      </c>
      <c r="G912" s="3">
        <v>3182327</v>
      </c>
      <c r="H912" s="3">
        <v>2404976</v>
      </c>
      <c r="I912" s="2" t="s">
        <v>11</v>
      </c>
      <c r="J912" s="3">
        <f t="shared" si="14"/>
        <v>200414.66666666666</v>
      </c>
    </row>
    <row r="913" spans="1:10" x14ac:dyDescent="0.35">
      <c r="A913" s="2" t="s">
        <v>14</v>
      </c>
      <c r="B913" s="2" t="s">
        <v>16</v>
      </c>
      <c r="C913" s="2" t="s">
        <v>18</v>
      </c>
      <c r="D913" s="2" t="s">
        <v>20</v>
      </c>
      <c r="E913" s="2" t="s">
        <v>31</v>
      </c>
      <c r="F913" s="2" t="s">
        <v>37</v>
      </c>
      <c r="G913" s="3">
        <v>3724743</v>
      </c>
      <c r="H913" s="3">
        <v>2914663</v>
      </c>
      <c r="I913" s="2" t="s">
        <v>40</v>
      </c>
      <c r="J913" s="3">
        <f t="shared" si="14"/>
        <v>242888.58333333334</v>
      </c>
    </row>
    <row r="914" spans="1:10" x14ac:dyDescent="0.35">
      <c r="A914" s="2" t="s">
        <v>12</v>
      </c>
      <c r="B914" s="2" t="s">
        <v>15</v>
      </c>
      <c r="C914" s="2" t="s">
        <v>18</v>
      </c>
      <c r="D914" s="2" t="s">
        <v>24</v>
      </c>
      <c r="E914" s="2" t="s">
        <v>35</v>
      </c>
      <c r="F914" s="2" t="s">
        <v>38</v>
      </c>
      <c r="G914" s="3">
        <v>792166</v>
      </c>
      <c r="H914" s="3">
        <v>602030</v>
      </c>
      <c r="I914" s="2" t="s">
        <v>11</v>
      </c>
      <c r="J914" s="3">
        <f t="shared" si="14"/>
        <v>50169.166666666664</v>
      </c>
    </row>
    <row r="915" spans="1:10" x14ac:dyDescent="0.35">
      <c r="A915" s="2" t="s">
        <v>13</v>
      </c>
      <c r="B915" s="2" t="s">
        <v>16</v>
      </c>
      <c r="C915" s="2" t="s">
        <v>18</v>
      </c>
      <c r="D915" s="2" t="s">
        <v>28</v>
      </c>
      <c r="E915" s="2" t="s">
        <v>35</v>
      </c>
      <c r="F915" s="2" t="s">
        <v>36</v>
      </c>
      <c r="G915" s="3">
        <v>4953073</v>
      </c>
      <c r="H915" s="3">
        <v>3873441</v>
      </c>
      <c r="I915" s="2" t="s">
        <v>9</v>
      </c>
      <c r="J915" s="3">
        <f t="shared" si="14"/>
        <v>322786.75</v>
      </c>
    </row>
    <row r="916" spans="1:10" x14ac:dyDescent="0.35">
      <c r="A916" s="2" t="s">
        <v>9</v>
      </c>
      <c r="B916" s="2" t="s">
        <v>17</v>
      </c>
      <c r="C916" s="2" t="s">
        <v>18</v>
      </c>
      <c r="D916" s="2" t="s">
        <v>20</v>
      </c>
      <c r="E916" s="2" t="s">
        <v>31</v>
      </c>
      <c r="F916" s="2" t="s">
        <v>38</v>
      </c>
      <c r="G916" s="3">
        <v>1265932</v>
      </c>
      <c r="H916" s="3">
        <v>986589</v>
      </c>
      <c r="I916" s="2" t="s">
        <v>9</v>
      </c>
      <c r="J916" s="3">
        <f t="shared" si="14"/>
        <v>82215.75</v>
      </c>
    </row>
    <row r="917" spans="1:10" x14ac:dyDescent="0.35">
      <c r="A917" s="2" t="s">
        <v>13</v>
      </c>
      <c r="B917" s="2" t="s">
        <v>17</v>
      </c>
      <c r="C917" s="2" t="s">
        <v>18</v>
      </c>
      <c r="D917" s="2" t="s">
        <v>25</v>
      </c>
      <c r="E917" s="2" t="s">
        <v>31</v>
      </c>
      <c r="F917" s="2" t="s">
        <v>39</v>
      </c>
      <c r="G917" s="3">
        <v>1906885</v>
      </c>
      <c r="H917" s="3">
        <v>1466662</v>
      </c>
      <c r="I917" s="2" t="s">
        <v>9</v>
      </c>
      <c r="J917" s="3">
        <f t="shared" si="14"/>
        <v>122221.83333333333</v>
      </c>
    </row>
    <row r="918" spans="1:10" x14ac:dyDescent="0.35">
      <c r="A918" s="2" t="s">
        <v>10</v>
      </c>
      <c r="B918" s="2" t="s">
        <v>15</v>
      </c>
      <c r="C918" s="2" t="s">
        <v>19</v>
      </c>
      <c r="D918" s="2" t="s">
        <v>24</v>
      </c>
      <c r="E918" s="2" t="s">
        <v>31</v>
      </c>
      <c r="F918" s="2" t="s">
        <v>38</v>
      </c>
      <c r="G918" s="3">
        <v>1050961</v>
      </c>
      <c r="H918" s="3">
        <v>770532</v>
      </c>
      <c r="I918" s="2" t="s">
        <v>40</v>
      </c>
      <c r="J918" s="3">
        <f t="shared" si="14"/>
        <v>64211</v>
      </c>
    </row>
    <row r="919" spans="1:10" x14ac:dyDescent="0.35">
      <c r="A919" s="2" t="s">
        <v>12</v>
      </c>
      <c r="B919" s="2" t="s">
        <v>15</v>
      </c>
      <c r="C919" s="2" t="s">
        <v>18</v>
      </c>
      <c r="D919" s="2" t="s">
        <v>21</v>
      </c>
      <c r="E919" s="2" t="s">
        <v>30</v>
      </c>
      <c r="F919" s="2" t="s">
        <v>38</v>
      </c>
      <c r="G919" s="3">
        <v>851482</v>
      </c>
      <c r="H919" s="3">
        <v>669882</v>
      </c>
      <c r="I919" s="2" t="s">
        <v>11</v>
      </c>
      <c r="J919" s="3">
        <f t="shared" si="14"/>
        <v>55823.5</v>
      </c>
    </row>
    <row r="920" spans="1:10" x14ac:dyDescent="0.35">
      <c r="A920" s="2" t="s">
        <v>13</v>
      </c>
      <c r="B920" s="2" t="s">
        <v>16</v>
      </c>
      <c r="C920" s="2" t="s">
        <v>18</v>
      </c>
      <c r="D920" s="2" t="s">
        <v>27</v>
      </c>
      <c r="E920" s="2" t="s">
        <v>29</v>
      </c>
      <c r="F920" s="2" t="s">
        <v>36</v>
      </c>
      <c r="G920" s="3">
        <v>4204395</v>
      </c>
      <c r="H920" s="3">
        <v>3036493</v>
      </c>
      <c r="I920" s="2" t="s">
        <v>9</v>
      </c>
      <c r="J920" s="3">
        <f t="shared" si="14"/>
        <v>253041.08333333334</v>
      </c>
    </row>
    <row r="921" spans="1:10" x14ac:dyDescent="0.35">
      <c r="A921" s="2" t="s">
        <v>10</v>
      </c>
      <c r="B921" s="2" t="s">
        <v>15</v>
      </c>
      <c r="C921" s="2" t="s">
        <v>18</v>
      </c>
      <c r="D921" s="2" t="s">
        <v>20</v>
      </c>
      <c r="E921" s="2" t="s">
        <v>30</v>
      </c>
      <c r="F921" s="2" t="s">
        <v>39</v>
      </c>
      <c r="G921" s="3">
        <v>960400</v>
      </c>
      <c r="H921" s="3">
        <v>769340</v>
      </c>
      <c r="I921" s="2" t="s">
        <v>40</v>
      </c>
      <c r="J921" s="3">
        <f t="shared" si="14"/>
        <v>64111.666666666664</v>
      </c>
    </row>
    <row r="922" spans="1:10" x14ac:dyDescent="0.35">
      <c r="A922" s="2" t="s">
        <v>10</v>
      </c>
      <c r="B922" s="2" t="s">
        <v>15</v>
      </c>
      <c r="C922" s="2" t="s">
        <v>19</v>
      </c>
      <c r="D922" s="2" t="s">
        <v>25</v>
      </c>
      <c r="E922" s="2" t="s">
        <v>31</v>
      </c>
      <c r="F922" s="2" t="s">
        <v>36</v>
      </c>
      <c r="G922" s="3">
        <v>849622</v>
      </c>
      <c r="H922" s="3">
        <v>688658</v>
      </c>
      <c r="I922" s="2" t="s">
        <v>40</v>
      </c>
      <c r="J922" s="3">
        <f t="shared" si="14"/>
        <v>57388.166666666664</v>
      </c>
    </row>
    <row r="923" spans="1:10" x14ac:dyDescent="0.35">
      <c r="A923" s="2" t="s">
        <v>9</v>
      </c>
      <c r="B923" s="2" t="s">
        <v>16</v>
      </c>
      <c r="C923" s="2" t="s">
        <v>18</v>
      </c>
      <c r="D923" s="2" t="s">
        <v>23</v>
      </c>
      <c r="E923" s="2" t="s">
        <v>34</v>
      </c>
      <c r="F923" s="2" t="s">
        <v>36</v>
      </c>
      <c r="G923" s="3">
        <v>3085653</v>
      </c>
      <c r="H923" s="3">
        <v>2495024</v>
      </c>
      <c r="I923" s="2" t="s">
        <v>9</v>
      </c>
      <c r="J923" s="3">
        <f t="shared" si="14"/>
        <v>207918.66666666666</v>
      </c>
    </row>
    <row r="924" spans="1:10" x14ac:dyDescent="0.35">
      <c r="A924" s="2" t="s">
        <v>13</v>
      </c>
      <c r="B924" s="2" t="s">
        <v>17</v>
      </c>
      <c r="C924" s="2" t="s">
        <v>19</v>
      </c>
      <c r="D924" s="2" t="s">
        <v>26</v>
      </c>
      <c r="E924" s="2" t="s">
        <v>33</v>
      </c>
      <c r="F924" s="2" t="s">
        <v>38</v>
      </c>
      <c r="G924" s="3">
        <v>1391241</v>
      </c>
      <c r="H924" s="3">
        <v>1018478</v>
      </c>
      <c r="I924" s="2" t="s">
        <v>9</v>
      </c>
      <c r="J924" s="3">
        <f t="shared" si="14"/>
        <v>84873.166666666672</v>
      </c>
    </row>
    <row r="925" spans="1:10" x14ac:dyDescent="0.35">
      <c r="A925" s="2" t="s">
        <v>12</v>
      </c>
      <c r="B925" s="2" t="s">
        <v>17</v>
      </c>
      <c r="C925" s="2" t="s">
        <v>19</v>
      </c>
      <c r="D925" s="2" t="s">
        <v>24</v>
      </c>
      <c r="E925" s="2" t="s">
        <v>34</v>
      </c>
      <c r="F925" s="2" t="s">
        <v>38</v>
      </c>
      <c r="G925" s="3">
        <v>1672159</v>
      </c>
      <c r="H925" s="3">
        <v>1185077</v>
      </c>
      <c r="I925" s="2" t="s">
        <v>11</v>
      </c>
      <c r="J925" s="3">
        <f t="shared" si="14"/>
        <v>98756.416666666672</v>
      </c>
    </row>
    <row r="926" spans="1:10" x14ac:dyDescent="0.35">
      <c r="A926" s="2" t="s">
        <v>14</v>
      </c>
      <c r="B926" s="2" t="s">
        <v>15</v>
      </c>
      <c r="C926" s="2" t="s">
        <v>19</v>
      </c>
      <c r="D926" s="2" t="s">
        <v>26</v>
      </c>
      <c r="E926" s="2" t="s">
        <v>31</v>
      </c>
      <c r="F926" s="2" t="s">
        <v>39</v>
      </c>
      <c r="G926" s="3">
        <v>1484648</v>
      </c>
      <c r="H926" s="3">
        <v>1042616</v>
      </c>
      <c r="I926" s="2" t="s">
        <v>40</v>
      </c>
      <c r="J926" s="3">
        <f t="shared" si="14"/>
        <v>86884.666666666672</v>
      </c>
    </row>
    <row r="927" spans="1:10" x14ac:dyDescent="0.35">
      <c r="A927" s="2" t="s">
        <v>13</v>
      </c>
      <c r="B927" s="2" t="s">
        <v>17</v>
      </c>
      <c r="C927" s="2" t="s">
        <v>18</v>
      </c>
      <c r="D927" s="2" t="s">
        <v>20</v>
      </c>
      <c r="E927" s="2" t="s">
        <v>33</v>
      </c>
      <c r="F927" s="2" t="s">
        <v>39</v>
      </c>
      <c r="G927" s="3">
        <v>1392037</v>
      </c>
      <c r="H927" s="3">
        <v>984754</v>
      </c>
      <c r="I927" s="2" t="s">
        <v>9</v>
      </c>
      <c r="J927" s="3">
        <f t="shared" si="14"/>
        <v>82062.833333333328</v>
      </c>
    </row>
    <row r="928" spans="1:10" x14ac:dyDescent="0.35">
      <c r="A928" s="2" t="s">
        <v>11</v>
      </c>
      <c r="B928" s="2" t="s">
        <v>17</v>
      </c>
      <c r="C928" s="2" t="s">
        <v>19</v>
      </c>
      <c r="D928" s="2" t="s">
        <v>23</v>
      </c>
      <c r="E928" s="2" t="s">
        <v>34</v>
      </c>
      <c r="F928" s="2" t="s">
        <v>38</v>
      </c>
      <c r="G928" s="3">
        <v>1801992</v>
      </c>
      <c r="H928" s="3">
        <v>1434315</v>
      </c>
      <c r="I928" s="2" t="s">
        <v>11</v>
      </c>
      <c r="J928" s="3">
        <f t="shared" si="14"/>
        <v>119526.25</v>
      </c>
    </row>
    <row r="929" spans="1:10" x14ac:dyDescent="0.35">
      <c r="A929" s="2" t="s">
        <v>14</v>
      </c>
      <c r="B929" s="2" t="s">
        <v>15</v>
      </c>
      <c r="C929" s="2" t="s">
        <v>19</v>
      </c>
      <c r="D929" s="2" t="s">
        <v>21</v>
      </c>
      <c r="E929" s="2" t="s">
        <v>29</v>
      </c>
      <c r="F929" s="2" t="s">
        <v>39</v>
      </c>
      <c r="G929" s="3">
        <v>1197056</v>
      </c>
      <c r="H929" s="3">
        <v>958167</v>
      </c>
      <c r="I929" s="2" t="s">
        <v>40</v>
      </c>
      <c r="J929" s="3">
        <f t="shared" si="14"/>
        <v>79847.25</v>
      </c>
    </row>
    <row r="930" spans="1:10" x14ac:dyDescent="0.35">
      <c r="A930" s="2" t="s">
        <v>12</v>
      </c>
      <c r="B930" s="2" t="s">
        <v>16</v>
      </c>
      <c r="C930" s="2" t="s">
        <v>19</v>
      </c>
      <c r="D930" s="2" t="s">
        <v>27</v>
      </c>
      <c r="E930" s="2" t="s">
        <v>29</v>
      </c>
      <c r="F930" s="2" t="s">
        <v>37</v>
      </c>
      <c r="G930" s="3">
        <v>3945725</v>
      </c>
      <c r="H930" s="3">
        <v>3176954</v>
      </c>
      <c r="I930" s="2" t="s">
        <v>11</v>
      </c>
      <c r="J930" s="3">
        <f t="shared" si="14"/>
        <v>264746.16666666669</v>
      </c>
    </row>
    <row r="931" spans="1:10" x14ac:dyDescent="0.35">
      <c r="A931" s="2" t="s">
        <v>13</v>
      </c>
      <c r="B931" s="2" t="s">
        <v>15</v>
      </c>
      <c r="C931" s="2" t="s">
        <v>18</v>
      </c>
      <c r="D931" s="2" t="s">
        <v>20</v>
      </c>
      <c r="E931" s="2" t="s">
        <v>31</v>
      </c>
      <c r="F931" s="2" t="s">
        <v>39</v>
      </c>
      <c r="G931" s="3">
        <v>753028</v>
      </c>
      <c r="H931" s="3">
        <v>533798</v>
      </c>
      <c r="I931" s="2" t="s">
        <v>9</v>
      </c>
      <c r="J931" s="3">
        <f t="shared" si="14"/>
        <v>44483.166666666664</v>
      </c>
    </row>
    <row r="932" spans="1:10" x14ac:dyDescent="0.35">
      <c r="A932" s="2" t="s">
        <v>13</v>
      </c>
      <c r="B932" s="2" t="s">
        <v>15</v>
      </c>
      <c r="C932" s="2" t="s">
        <v>19</v>
      </c>
      <c r="D932" s="2" t="s">
        <v>21</v>
      </c>
      <c r="E932" s="2" t="s">
        <v>32</v>
      </c>
      <c r="F932" s="2" t="s">
        <v>38</v>
      </c>
      <c r="G932" s="3">
        <v>1110449</v>
      </c>
      <c r="H932" s="3">
        <v>781940</v>
      </c>
      <c r="I932" s="2" t="s">
        <v>9</v>
      </c>
      <c r="J932" s="3">
        <f t="shared" si="14"/>
        <v>65161.666666666664</v>
      </c>
    </row>
    <row r="933" spans="1:10" x14ac:dyDescent="0.35">
      <c r="A933" s="2" t="s">
        <v>12</v>
      </c>
      <c r="B933" s="2" t="s">
        <v>16</v>
      </c>
      <c r="C933" s="2" t="s">
        <v>19</v>
      </c>
      <c r="D933" s="2" t="s">
        <v>22</v>
      </c>
      <c r="E933" s="2" t="s">
        <v>32</v>
      </c>
      <c r="F933" s="2" t="s">
        <v>38</v>
      </c>
      <c r="G933" s="3">
        <v>4614137</v>
      </c>
      <c r="H933" s="3">
        <v>3471882</v>
      </c>
      <c r="I933" s="2" t="s">
        <v>11</v>
      </c>
      <c r="J933" s="3">
        <f t="shared" si="14"/>
        <v>289323.5</v>
      </c>
    </row>
    <row r="934" spans="1:10" x14ac:dyDescent="0.35">
      <c r="A934" s="2" t="s">
        <v>9</v>
      </c>
      <c r="B934" s="2" t="s">
        <v>15</v>
      </c>
      <c r="C934" s="2" t="s">
        <v>19</v>
      </c>
      <c r="D934" s="2" t="s">
        <v>28</v>
      </c>
      <c r="E934" s="2" t="s">
        <v>34</v>
      </c>
      <c r="F934" s="2" t="s">
        <v>36</v>
      </c>
      <c r="G934" s="3">
        <v>785446</v>
      </c>
      <c r="H934" s="3">
        <v>619328</v>
      </c>
      <c r="I934" s="2" t="s">
        <v>9</v>
      </c>
      <c r="J934" s="3">
        <f t="shared" si="14"/>
        <v>51610.666666666664</v>
      </c>
    </row>
    <row r="935" spans="1:10" x14ac:dyDescent="0.35">
      <c r="A935" s="2" t="s">
        <v>13</v>
      </c>
      <c r="B935" s="2" t="s">
        <v>17</v>
      </c>
      <c r="C935" s="2" t="s">
        <v>19</v>
      </c>
      <c r="D935" s="2" t="s">
        <v>27</v>
      </c>
      <c r="E935" s="2" t="s">
        <v>33</v>
      </c>
      <c r="F935" s="2" t="s">
        <v>38</v>
      </c>
      <c r="G935" s="3">
        <v>1728252</v>
      </c>
      <c r="H935" s="3">
        <v>1209975</v>
      </c>
      <c r="I935" s="2" t="s">
        <v>9</v>
      </c>
      <c r="J935" s="3">
        <f t="shared" si="14"/>
        <v>100831.25</v>
      </c>
    </row>
    <row r="936" spans="1:10" x14ac:dyDescent="0.35">
      <c r="A936" s="2" t="s">
        <v>9</v>
      </c>
      <c r="B936" s="2" t="s">
        <v>15</v>
      </c>
      <c r="C936" s="2" t="s">
        <v>19</v>
      </c>
      <c r="D936" s="2" t="s">
        <v>24</v>
      </c>
      <c r="E936" s="2" t="s">
        <v>33</v>
      </c>
      <c r="F936" s="2" t="s">
        <v>36</v>
      </c>
      <c r="G936" s="3">
        <v>712716</v>
      </c>
      <c r="H936" s="3">
        <v>513126</v>
      </c>
      <c r="I936" s="2" t="s">
        <v>9</v>
      </c>
      <c r="J936" s="3">
        <f t="shared" si="14"/>
        <v>42760.5</v>
      </c>
    </row>
    <row r="937" spans="1:10" x14ac:dyDescent="0.35">
      <c r="A937" s="2" t="s">
        <v>10</v>
      </c>
      <c r="B937" s="2" t="s">
        <v>17</v>
      </c>
      <c r="C937" s="2" t="s">
        <v>18</v>
      </c>
      <c r="D937" s="2" t="s">
        <v>27</v>
      </c>
      <c r="E937" s="2" t="s">
        <v>29</v>
      </c>
      <c r="F937" s="2" t="s">
        <v>38</v>
      </c>
      <c r="G937" s="3">
        <v>2038689</v>
      </c>
      <c r="H937" s="3">
        <v>1574928</v>
      </c>
      <c r="I937" s="2" t="s">
        <v>40</v>
      </c>
      <c r="J937" s="3">
        <f t="shared" si="14"/>
        <v>131244</v>
      </c>
    </row>
    <row r="938" spans="1:10" x14ac:dyDescent="0.35">
      <c r="A938" s="2" t="s">
        <v>10</v>
      </c>
      <c r="B938" s="2" t="s">
        <v>15</v>
      </c>
      <c r="C938" s="2" t="s">
        <v>19</v>
      </c>
      <c r="D938" s="2" t="s">
        <v>26</v>
      </c>
      <c r="E938" s="2" t="s">
        <v>35</v>
      </c>
      <c r="F938" s="2" t="s">
        <v>38</v>
      </c>
      <c r="G938" s="3">
        <v>1171594</v>
      </c>
      <c r="H938" s="3">
        <v>951393</v>
      </c>
      <c r="I938" s="2" t="s">
        <v>40</v>
      </c>
      <c r="J938" s="3">
        <f t="shared" si="14"/>
        <v>79282.75</v>
      </c>
    </row>
    <row r="939" spans="1:10" x14ac:dyDescent="0.35">
      <c r="A939" s="2" t="s">
        <v>11</v>
      </c>
      <c r="B939" s="2" t="s">
        <v>16</v>
      </c>
      <c r="C939" s="2" t="s">
        <v>18</v>
      </c>
      <c r="D939" s="2" t="s">
        <v>25</v>
      </c>
      <c r="E939" s="2" t="s">
        <v>33</v>
      </c>
      <c r="F939" s="2" t="s">
        <v>39</v>
      </c>
      <c r="G939" s="3">
        <v>4446751</v>
      </c>
      <c r="H939" s="3">
        <v>3214069</v>
      </c>
      <c r="I939" s="2" t="s">
        <v>11</v>
      </c>
      <c r="J939" s="3">
        <f t="shared" si="14"/>
        <v>267839.08333333331</v>
      </c>
    </row>
    <row r="940" spans="1:10" x14ac:dyDescent="0.35">
      <c r="A940" s="2" t="s">
        <v>13</v>
      </c>
      <c r="B940" s="2" t="s">
        <v>17</v>
      </c>
      <c r="C940" s="2" t="s">
        <v>19</v>
      </c>
      <c r="D940" s="2" t="s">
        <v>25</v>
      </c>
      <c r="E940" s="2" t="s">
        <v>35</v>
      </c>
      <c r="F940" s="2" t="s">
        <v>37</v>
      </c>
      <c r="G940" s="3">
        <v>1711953</v>
      </c>
      <c r="H940" s="3">
        <v>1329806</v>
      </c>
      <c r="I940" s="2" t="s">
        <v>9</v>
      </c>
      <c r="J940" s="3">
        <f t="shared" si="14"/>
        <v>110817.16666666667</v>
      </c>
    </row>
    <row r="941" spans="1:10" x14ac:dyDescent="0.35">
      <c r="A941" s="2" t="s">
        <v>13</v>
      </c>
      <c r="B941" s="2" t="s">
        <v>15</v>
      </c>
      <c r="C941" s="2" t="s">
        <v>19</v>
      </c>
      <c r="D941" s="2" t="s">
        <v>20</v>
      </c>
      <c r="E941" s="2" t="s">
        <v>33</v>
      </c>
      <c r="F941" s="2" t="s">
        <v>36</v>
      </c>
      <c r="G941" s="3">
        <v>950212</v>
      </c>
      <c r="H941" s="3">
        <v>667533</v>
      </c>
      <c r="I941" s="2" t="s">
        <v>9</v>
      </c>
      <c r="J941" s="3">
        <f t="shared" si="14"/>
        <v>55627.75</v>
      </c>
    </row>
    <row r="942" spans="1:10" x14ac:dyDescent="0.35">
      <c r="A942" s="2" t="s">
        <v>14</v>
      </c>
      <c r="B942" s="2" t="s">
        <v>16</v>
      </c>
      <c r="C942" s="2" t="s">
        <v>19</v>
      </c>
      <c r="D942" s="2" t="s">
        <v>20</v>
      </c>
      <c r="E942" s="2" t="s">
        <v>29</v>
      </c>
      <c r="F942" s="2" t="s">
        <v>38</v>
      </c>
      <c r="G942" s="3">
        <v>3810391</v>
      </c>
      <c r="H942" s="3">
        <v>3012023</v>
      </c>
      <c r="I942" s="2" t="s">
        <v>40</v>
      </c>
      <c r="J942" s="3">
        <f t="shared" si="14"/>
        <v>251001.91666666666</v>
      </c>
    </row>
    <row r="943" spans="1:10" x14ac:dyDescent="0.35">
      <c r="A943" s="2" t="s">
        <v>12</v>
      </c>
      <c r="B943" s="2" t="s">
        <v>17</v>
      </c>
      <c r="C943" s="2" t="s">
        <v>18</v>
      </c>
      <c r="D943" s="2" t="s">
        <v>23</v>
      </c>
      <c r="E943" s="2" t="s">
        <v>32</v>
      </c>
      <c r="F943" s="2" t="s">
        <v>37</v>
      </c>
      <c r="G943" s="3">
        <v>1353621</v>
      </c>
      <c r="H943" s="3">
        <v>955457</v>
      </c>
      <c r="I943" s="2" t="s">
        <v>11</v>
      </c>
      <c r="J943" s="3">
        <f t="shared" si="14"/>
        <v>79621.416666666672</v>
      </c>
    </row>
    <row r="944" spans="1:10" x14ac:dyDescent="0.35">
      <c r="A944" s="2" t="s">
        <v>12</v>
      </c>
      <c r="B944" s="2" t="s">
        <v>17</v>
      </c>
      <c r="C944" s="2" t="s">
        <v>18</v>
      </c>
      <c r="D944" s="2" t="s">
        <v>26</v>
      </c>
      <c r="E944" s="2" t="s">
        <v>30</v>
      </c>
      <c r="F944" s="2" t="s">
        <v>39</v>
      </c>
      <c r="G944" s="3">
        <v>1824607</v>
      </c>
      <c r="H944" s="3">
        <v>1483295</v>
      </c>
      <c r="I944" s="2" t="s">
        <v>11</v>
      </c>
      <c r="J944" s="3">
        <f t="shared" si="14"/>
        <v>123607.91666666667</v>
      </c>
    </row>
    <row r="945" spans="1:10" x14ac:dyDescent="0.35">
      <c r="A945" s="2" t="s">
        <v>11</v>
      </c>
      <c r="B945" s="2" t="s">
        <v>15</v>
      </c>
      <c r="C945" s="2" t="s">
        <v>18</v>
      </c>
      <c r="D945" s="2" t="s">
        <v>20</v>
      </c>
      <c r="E945" s="2" t="s">
        <v>29</v>
      </c>
      <c r="F945" s="2" t="s">
        <v>39</v>
      </c>
      <c r="G945" s="3">
        <v>675807</v>
      </c>
      <c r="H945" s="3">
        <v>530516</v>
      </c>
      <c r="I945" s="2" t="s">
        <v>11</v>
      </c>
      <c r="J945" s="3">
        <f t="shared" si="14"/>
        <v>44209.666666666664</v>
      </c>
    </row>
    <row r="946" spans="1:10" x14ac:dyDescent="0.35">
      <c r="A946" s="2" t="s">
        <v>12</v>
      </c>
      <c r="B946" s="2" t="s">
        <v>16</v>
      </c>
      <c r="C946" s="2" t="s">
        <v>19</v>
      </c>
      <c r="D946" s="2" t="s">
        <v>22</v>
      </c>
      <c r="E946" s="2" t="s">
        <v>34</v>
      </c>
      <c r="F946" s="2" t="s">
        <v>39</v>
      </c>
      <c r="G946" s="3">
        <v>2907311</v>
      </c>
      <c r="H946" s="3">
        <v>2280709</v>
      </c>
      <c r="I946" s="2" t="s">
        <v>11</v>
      </c>
      <c r="J946" s="3">
        <f t="shared" si="14"/>
        <v>190059.08333333334</v>
      </c>
    </row>
    <row r="947" spans="1:10" x14ac:dyDescent="0.35">
      <c r="A947" s="2" t="s">
        <v>9</v>
      </c>
      <c r="B947" s="2" t="s">
        <v>15</v>
      </c>
      <c r="C947" s="2" t="s">
        <v>19</v>
      </c>
      <c r="D947" s="2" t="s">
        <v>22</v>
      </c>
      <c r="E947" s="2" t="s">
        <v>30</v>
      </c>
      <c r="F947" s="2" t="s">
        <v>37</v>
      </c>
      <c r="G947" s="3">
        <v>467220</v>
      </c>
      <c r="H947" s="3">
        <v>345221</v>
      </c>
      <c r="I947" s="2" t="s">
        <v>9</v>
      </c>
      <c r="J947" s="3">
        <f t="shared" si="14"/>
        <v>28768.416666666668</v>
      </c>
    </row>
    <row r="948" spans="1:10" x14ac:dyDescent="0.35">
      <c r="A948" s="2" t="s">
        <v>14</v>
      </c>
      <c r="B948" s="2" t="s">
        <v>17</v>
      </c>
      <c r="C948" s="2" t="s">
        <v>18</v>
      </c>
      <c r="D948" s="2" t="s">
        <v>27</v>
      </c>
      <c r="E948" s="2" t="s">
        <v>35</v>
      </c>
      <c r="F948" s="2" t="s">
        <v>38</v>
      </c>
      <c r="G948" s="3">
        <v>2277979</v>
      </c>
      <c r="H948" s="3">
        <v>1689338</v>
      </c>
      <c r="I948" s="2" t="s">
        <v>40</v>
      </c>
      <c r="J948" s="3">
        <f t="shared" si="14"/>
        <v>140778.16666666666</v>
      </c>
    </row>
    <row r="949" spans="1:10" x14ac:dyDescent="0.35">
      <c r="A949" s="2" t="s">
        <v>11</v>
      </c>
      <c r="B949" s="2" t="s">
        <v>17</v>
      </c>
      <c r="C949" s="2" t="s">
        <v>19</v>
      </c>
      <c r="D949" s="2" t="s">
        <v>25</v>
      </c>
      <c r="E949" s="2" t="s">
        <v>30</v>
      </c>
      <c r="F949" s="2" t="s">
        <v>39</v>
      </c>
      <c r="G949" s="3">
        <v>2189924</v>
      </c>
      <c r="H949" s="3">
        <v>1735635</v>
      </c>
      <c r="I949" s="2" t="s">
        <v>11</v>
      </c>
      <c r="J949" s="3">
        <f t="shared" si="14"/>
        <v>144636.25</v>
      </c>
    </row>
    <row r="950" spans="1:10" x14ac:dyDescent="0.35">
      <c r="A950" s="2" t="s">
        <v>9</v>
      </c>
      <c r="B950" s="2" t="s">
        <v>17</v>
      </c>
      <c r="C950" s="2" t="s">
        <v>18</v>
      </c>
      <c r="D950" s="2" t="s">
        <v>23</v>
      </c>
      <c r="E950" s="2" t="s">
        <v>34</v>
      </c>
      <c r="F950" s="2" t="s">
        <v>39</v>
      </c>
      <c r="G950" s="3">
        <v>1743312</v>
      </c>
      <c r="H950" s="3">
        <v>1421803</v>
      </c>
      <c r="I950" s="2" t="s">
        <v>9</v>
      </c>
      <c r="J950" s="3">
        <f t="shared" si="14"/>
        <v>118483.58333333333</v>
      </c>
    </row>
    <row r="951" spans="1:10" x14ac:dyDescent="0.35">
      <c r="A951" s="2" t="s">
        <v>10</v>
      </c>
      <c r="B951" s="2" t="s">
        <v>17</v>
      </c>
      <c r="C951" s="2" t="s">
        <v>19</v>
      </c>
      <c r="D951" s="2" t="s">
        <v>24</v>
      </c>
      <c r="E951" s="2" t="s">
        <v>29</v>
      </c>
      <c r="F951" s="2" t="s">
        <v>39</v>
      </c>
      <c r="G951" s="3">
        <v>1999022</v>
      </c>
      <c r="H951" s="3">
        <v>1619654</v>
      </c>
      <c r="I951" s="2" t="s">
        <v>40</v>
      </c>
      <c r="J951" s="3">
        <f t="shared" si="14"/>
        <v>134971.16666666666</v>
      </c>
    </row>
    <row r="952" spans="1:10" x14ac:dyDescent="0.35">
      <c r="A952" s="2" t="s">
        <v>9</v>
      </c>
      <c r="B952" s="2" t="s">
        <v>15</v>
      </c>
      <c r="C952" s="2" t="s">
        <v>19</v>
      </c>
      <c r="D952" s="2" t="s">
        <v>21</v>
      </c>
      <c r="E952" s="2" t="s">
        <v>33</v>
      </c>
      <c r="F952" s="2" t="s">
        <v>39</v>
      </c>
      <c r="G952" s="3">
        <v>416042</v>
      </c>
      <c r="H952" s="3">
        <v>298969</v>
      </c>
      <c r="I952" s="2" t="s">
        <v>9</v>
      </c>
      <c r="J952" s="3">
        <f t="shared" si="14"/>
        <v>24914.083333333332</v>
      </c>
    </row>
    <row r="953" spans="1:10" x14ac:dyDescent="0.35">
      <c r="A953" s="2" t="s">
        <v>11</v>
      </c>
      <c r="B953" s="2" t="s">
        <v>16</v>
      </c>
      <c r="C953" s="2" t="s">
        <v>19</v>
      </c>
      <c r="D953" s="2" t="s">
        <v>22</v>
      </c>
      <c r="E953" s="2" t="s">
        <v>33</v>
      </c>
      <c r="F953" s="2" t="s">
        <v>37</v>
      </c>
      <c r="G953" s="3">
        <v>4391738</v>
      </c>
      <c r="H953" s="3">
        <v>3395423</v>
      </c>
      <c r="I953" s="2" t="s">
        <v>11</v>
      </c>
      <c r="J953" s="3">
        <f t="shared" si="14"/>
        <v>282951.91666666669</v>
      </c>
    </row>
    <row r="954" spans="1:10" x14ac:dyDescent="0.35">
      <c r="A954" s="2" t="s">
        <v>9</v>
      </c>
      <c r="B954" s="2" t="s">
        <v>17</v>
      </c>
      <c r="C954" s="2" t="s">
        <v>18</v>
      </c>
      <c r="D954" s="2" t="s">
        <v>26</v>
      </c>
      <c r="E954" s="2" t="s">
        <v>30</v>
      </c>
      <c r="F954" s="2" t="s">
        <v>37</v>
      </c>
      <c r="G954" s="3">
        <v>1510629</v>
      </c>
      <c r="H954" s="3">
        <v>1106180</v>
      </c>
      <c r="I954" s="2" t="s">
        <v>9</v>
      </c>
      <c r="J954" s="3">
        <f t="shared" si="14"/>
        <v>92181.666666666672</v>
      </c>
    </row>
    <row r="955" spans="1:10" x14ac:dyDescent="0.35">
      <c r="A955" s="2" t="s">
        <v>12</v>
      </c>
      <c r="B955" s="2" t="s">
        <v>15</v>
      </c>
      <c r="C955" s="2" t="s">
        <v>18</v>
      </c>
      <c r="D955" s="2" t="s">
        <v>20</v>
      </c>
      <c r="E955" s="2" t="s">
        <v>33</v>
      </c>
      <c r="F955" s="2" t="s">
        <v>37</v>
      </c>
      <c r="G955" s="3">
        <v>625016</v>
      </c>
      <c r="H955" s="3">
        <v>446132</v>
      </c>
      <c r="I955" s="2" t="s">
        <v>11</v>
      </c>
      <c r="J955" s="3">
        <f t="shared" si="14"/>
        <v>37177.666666666664</v>
      </c>
    </row>
    <row r="956" spans="1:10" x14ac:dyDescent="0.35">
      <c r="A956" s="2" t="s">
        <v>12</v>
      </c>
      <c r="B956" s="2" t="s">
        <v>17</v>
      </c>
      <c r="C956" s="2" t="s">
        <v>19</v>
      </c>
      <c r="D956" s="2" t="s">
        <v>24</v>
      </c>
      <c r="E956" s="2" t="s">
        <v>35</v>
      </c>
      <c r="F956" s="2" t="s">
        <v>39</v>
      </c>
      <c r="G956" s="3">
        <v>2423068</v>
      </c>
      <c r="H956" s="3">
        <v>1848673</v>
      </c>
      <c r="I956" s="2" t="s">
        <v>11</v>
      </c>
      <c r="J956" s="3">
        <f t="shared" si="14"/>
        <v>154056.08333333334</v>
      </c>
    </row>
    <row r="957" spans="1:10" x14ac:dyDescent="0.35">
      <c r="A957" s="2" t="s">
        <v>14</v>
      </c>
      <c r="B957" s="2" t="s">
        <v>16</v>
      </c>
      <c r="C957" s="2" t="s">
        <v>18</v>
      </c>
      <c r="D957" s="2" t="s">
        <v>23</v>
      </c>
      <c r="E957" s="2" t="s">
        <v>35</v>
      </c>
      <c r="F957" s="2" t="s">
        <v>37</v>
      </c>
      <c r="G957" s="3">
        <v>6434184</v>
      </c>
      <c r="H957" s="3">
        <v>4882166</v>
      </c>
      <c r="I957" s="2" t="s">
        <v>40</v>
      </c>
      <c r="J957" s="3">
        <f t="shared" si="14"/>
        <v>406847.16666666669</v>
      </c>
    </row>
    <row r="958" spans="1:10" x14ac:dyDescent="0.35">
      <c r="A958" s="2" t="s">
        <v>9</v>
      </c>
      <c r="B958" s="2" t="s">
        <v>17</v>
      </c>
      <c r="C958" s="2" t="s">
        <v>19</v>
      </c>
      <c r="D958" s="2" t="s">
        <v>27</v>
      </c>
      <c r="E958" s="2" t="s">
        <v>31</v>
      </c>
      <c r="F958" s="2" t="s">
        <v>37</v>
      </c>
      <c r="G958" s="3">
        <v>1381587</v>
      </c>
      <c r="H958" s="3">
        <v>1114893</v>
      </c>
      <c r="I958" s="2" t="s">
        <v>9</v>
      </c>
      <c r="J958" s="3">
        <f t="shared" si="14"/>
        <v>92907.75</v>
      </c>
    </row>
    <row r="959" spans="1:10" x14ac:dyDescent="0.35">
      <c r="A959" s="2" t="s">
        <v>14</v>
      </c>
      <c r="B959" s="2" t="s">
        <v>17</v>
      </c>
      <c r="C959" s="2" t="s">
        <v>18</v>
      </c>
      <c r="D959" s="2" t="s">
        <v>24</v>
      </c>
      <c r="E959" s="2" t="s">
        <v>31</v>
      </c>
      <c r="F959" s="2" t="s">
        <v>38</v>
      </c>
      <c r="G959" s="3">
        <v>2211818</v>
      </c>
      <c r="H959" s="3">
        <v>1680117</v>
      </c>
      <c r="I959" s="2" t="s">
        <v>40</v>
      </c>
      <c r="J959" s="3">
        <f t="shared" si="14"/>
        <v>140009.75</v>
      </c>
    </row>
    <row r="960" spans="1:10" x14ac:dyDescent="0.35">
      <c r="A960" s="2" t="s">
        <v>14</v>
      </c>
      <c r="B960" s="2" t="s">
        <v>17</v>
      </c>
      <c r="C960" s="2" t="s">
        <v>19</v>
      </c>
      <c r="D960" s="2" t="s">
        <v>27</v>
      </c>
      <c r="E960" s="2" t="s">
        <v>31</v>
      </c>
      <c r="F960" s="2" t="s">
        <v>37</v>
      </c>
      <c r="G960" s="3">
        <v>2709385</v>
      </c>
      <c r="H960" s="3">
        <v>2179756</v>
      </c>
      <c r="I960" s="2" t="s">
        <v>40</v>
      </c>
      <c r="J960" s="3">
        <f t="shared" si="14"/>
        <v>181646.33333333334</v>
      </c>
    </row>
    <row r="961" spans="1:10" x14ac:dyDescent="0.35">
      <c r="A961" s="2" t="s">
        <v>10</v>
      </c>
      <c r="B961" s="2" t="s">
        <v>16</v>
      </c>
      <c r="C961" s="2" t="s">
        <v>19</v>
      </c>
      <c r="D961" s="2" t="s">
        <v>22</v>
      </c>
      <c r="E961" s="2" t="s">
        <v>29</v>
      </c>
      <c r="F961" s="2" t="s">
        <v>39</v>
      </c>
      <c r="G961" s="3">
        <v>4316354</v>
      </c>
      <c r="H961" s="3">
        <v>3082475</v>
      </c>
      <c r="I961" s="2" t="s">
        <v>40</v>
      </c>
      <c r="J961" s="3">
        <f t="shared" si="14"/>
        <v>256872.91666666666</v>
      </c>
    </row>
    <row r="962" spans="1:10" x14ac:dyDescent="0.35">
      <c r="A962" s="2" t="s">
        <v>11</v>
      </c>
      <c r="B962" s="2" t="s">
        <v>15</v>
      </c>
      <c r="C962" s="2" t="s">
        <v>19</v>
      </c>
      <c r="D962" s="2" t="s">
        <v>20</v>
      </c>
      <c r="E962" s="2" t="s">
        <v>32</v>
      </c>
      <c r="F962" s="2" t="s">
        <v>38</v>
      </c>
      <c r="G962" s="3">
        <v>1125980</v>
      </c>
      <c r="H962" s="3">
        <v>861705</v>
      </c>
      <c r="I962" s="2" t="s">
        <v>11</v>
      </c>
      <c r="J962" s="3">
        <f t="shared" si="14"/>
        <v>71808.75</v>
      </c>
    </row>
    <row r="963" spans="1:10" x14ac:dyDescent="0.35">
      <c r="A963" s="2" t="s">
        <v>14</v>
      </c>
      <c r="B963" s="2" t="s">
        <v>17</v>
      </c>
      <c r="C963" s="2" t="s">
        <v>19</v>
      </c>
      <c r="D963" s="2" t="s">
        <v>24</v>
      </c>
      <c r="E963" s="2" t="s">
        <v>29</v>
      </c>
      <c r="F963" s="2" t="s">
        <v>39</v>
      </c>
      <c r="G963" s="3">
        <v>2012179</v>
      </c>
      <c r="H963" s="3">
        <v>1556977</v>
      </c>
      <c r="I963" s="2" t="s">
        <v>40</v>
      </c>
      <c r="J963" s="3">
        <f t="shared" ref="J963:J1001" si="15">H963/12</f>
        <v>129748.08333333333</v>
      </c>
    </row>
    <row r="964" spans="1:10" x14ac:dyDescent="0.35">
      <c r="A964" s="2" t="s">
        <v>10</v>
      </c>
      <c r="B964" s="2" t="s">
        <v>15</v>
      </c>
      <c r="C964" s="2" t="s">
        <v>19</v>
      </c>
      <c r="D964" s="2" t="s">
        <v>25</v>
      </c>
      <c r="E964" s="2" t="s">
        <v>33</v>
      </c>
      <c r="F964" s="2" t="s">
        <v>36</v>
      </c>
      <c r="G964" s="3">
        <v>835158</v>
      </c>
      <c r="H964" s="3">
        <v>636278</v>
      </c>
      <c r="I964" s="2" t="s">
        <v>40</v>
      </c>
      <c r="J964" s="3">
        <f t="shared" si="15"/>
        <v>53023.166666666664</v>
      </c>
    </row>
    <row r="965" spans="1:10" x14ac:dyDescent="0.35">
      <c r="A965" s="2" t="s">
        <v>13</v>
      </c>
      <c r="B965" s="2" t="s">
        <v>17</v>
      </c>
      <c r="C965" s="2" t="s">
        <v>18</v>
      </c>
      <c r="D965" s="2" t="s">
        <v>24</v>
      </c>
      <c r="E965" s="2" t="s">
        <v>29</v>
      </c>
      <c r="F965" s="2" t="s">
        <v>37</v>
      </c>
      <c r="G965" s="3">
        <v>2412362</v>
      </c>
      <c r="H965" s="3">
        <v>1879686</v>
      </c>
      <c r="I965" s="2" t="s">
        <v>9</v>
      </c>
      <c r="J965" s="3">
        <f t="shared" si="15"/>
        <v>156640.5</v>
      </c>
    </row>
    <row r="966" spans="1:10" x14ac:dyDescent="0.35">
      <c r="A966" s="2" t="s">
        <v>14</v>
      </c>
      <c r="B966" s="2" t="s">
        <v>15</v>
      </c>
      <c r="C966" s="2" t="s">
        <v>18</v>
      </c>
      <c r="D966" s="2" t="s">
        <v>27</v>
      </c>
      <c r="E966" s="2" t="s">
        <v>30</v>
      </c>
      <c r="F966" s="2" t="s">
        <v>38</v>
      </c>
      <c r="G966" s="3">
        <v>984462</v>
      </c>
      <c r="H966" s="3">
        <v>756285</v>
      </c>
      <c r="I966" s="2" t="s">
        <v>40</v>
      </c>
      <c r="J966" s="3">
        <f t="shared" si="15"/>
        <v>63023.75</v>
      </c>
    </row>
    <row r="967" spans="1:10" x14ac:dyDescent="0.35">
      <c r="A967" s="2" t="s">
        <v>10</v>
      </c>
      <c r="B967" s="2" t="s">
        <v>16</v>
      </c>
      <c r="C967" s="2" t="s">
        <v>19</v>
      </c>
      <c r="D967" s="2" t="s">
        <v>23</v>
      </c>
      <c r="E967" s="2" t="s">
        <v>30</v>
      </c>
      <c r="F967" s="2" t="s">
        <v>37</v>
      </c>
      <c r="G967" s="3">
        <v>4420743</v>
      </c>
      <c r="H967" s="3">
        <v>3571643</v>
      </c>
      <c r="I967" s="2" t="s">
        <v>40</v>
      </c>
      <c r="J967" s="3">
        <f t="shared" si="15"/>
        <v>297636.91666666669</v>
      </c>
    </row>
    <row r="968" spans="1:10" x14ac:dyDescent="0.35">
      <c r="A968" s="2" t="s">
        <v>12</v>
      </c>
      <c r="B968" s="2" t="s">
        <v>16</v>
      </c>
      <c r="C968" s="2" t="s">
        <v>19</v>
      </c>
      <c r="D968" s="2" t="s">
        <v>23</v>
      </c>
      <c r="E968" s="2" t="s">
        <v>32</v>
      </c>
      <c r="F968" s="2" t="s">
        <v>38</v>
      </c>
      <c r="G968" s="3">
        <v>3954071</v>
      </c>
      <c r="H968" s="3">
        <v>3052948</v>
      </c>
      <c r="I968" s="2" t="s">
        <v>11</v>
      </c>
      <c r="J968" s="3">
        <f t="shared" si="15"/>
        <v>254412.33333333334</v>
      </c>
    </row>
    <row r="969" spans="1:10" x14ac:dyDescent="0.35">
      <c r="A969" s="2" t="s">
        <v>12</v>
      </c>
      <c r="B969" s="2" t="s">
        <v>17</v>
      </c>
      <c r="C969" s="2" t="s">
        <v>19</v>
      </c>
      <c r="D969" s="2" t="s">
        <v>22</v>
      </c>
      <c r="E969" s="2" t="s">
        <v>31</v>
      </c>
      <c r="F969" s="2" t="s">
        <v>37</v>
      </c>
      <c r="G969" s="3">
        <v>2190219</v>
      </c>
      <c r="H969" s="3">
        <v>1746873</v>
      </c>
      <c r="I969" s="2" t="s">
        <v>11</v>
      </c>
      <c r="J969" s="3">
        <f t="shared" si="15"/>
        <v>145572.75</v>
      </c>
    </row>
    <row r="970" spans="1:10" x14ac:dyDescent="0.35">
      <c r="A970" s="2" t="s">
        <v>9</v>
      </c>
      <c r="B970" s="2" t="s">
        <v>17</v>
      </c>
      <c r="C970" s="2" t="s">
        <v>18</v>
      </c>
      <c r="D970" s="2" t="s">
        <v>27</v>
      </c>
      <c r="E970" s="2" t="s">
        <v>30</v>
      </c>
      <c r="F970" s="2" t="s">
        <v>39</v>
      </c>
      <c r="G970" s="3">
        <v>1202808</v>
      </c>
      <c r="H970" s="3">
        <v>880922</v>
      </c>
      <c r="I970" s="2" t="s">
        <v>9</v>
      </c>
      <c r="J970" s="3">
        <f t="shared" si="15"/>
        <v>73410.166666666672</v>
      </c>
    </row>
    <row r="971" spans="1:10" x14ac:dyDescent="0.35">
      <c r="A971" s="2" t="s">
        <v>9</v>
      </c>
      <c r="B971" s="2" t="s">
        <v>15</v>
      </c>
      <c r="C971" s="2" t="s">
        <v>18</v>
      </c>
      <c r="D971" s="2" t="s">
        <v>22</v>
      </c>
      <c r="E971" s="2" t="s">
        <v>35</v>
      </c>
      <c r="F971" s="2" t="s">
        <v>37</v>
      </c>
      <c r="G971" s="3">
        <v>596697</v>
      </c>
      <c r="H971" s="3">
        <v>442174</v>
      </c>
      <c r="I971" s="2" t="s">
        <v>9</v>
      </c>
      <c r="J971" s="3">
        <f t="shared" si="15"/>
        <v>36847.833333333336</v>
      </c>
    </row>
    <row r="972" spans="1:10" x14ac:dyDescent="0.35">
      <c r="A972" s="2" t="s">
        <v>11</v>
      </c>
      <c r="B972" s="2" t="s">
        <v>15</v>
      </c>
      <c r="C972" s="2" t="s">
        <v>19</v>
      </c>
      <c r="D972" s="2" t="s">
        <v>25</v>
      </c>
      <c r="E972" s="2" t="s">
        <v>29</v>
      </c>
      <c r="F972" s="2" t="s">
        <v>38</v>
      </c>
      <c r="G972" s="3">
        <v>961484</v>
      </c>
      <c r="H972" s="3">
        <v>785197</v>
      </c>
      <c r="I972" s="2" t="s">
        <v>11</v>
      </c>
      <c r="J972" s="3">
        <f t="shared" si="15"/>
        <v>65433.083333333336</v>
      </c>
    </row>
    <row r="973" spans="1:10" x14ac:dyDescent="0.35">
      <c r="A973" s="2" t="s">
        <v>14</v>
      </c>
      <c r="B973" s="2" t="s">
        <v>17</v>
      </c>
      <c r="C973" s="2" t="s">
        <v>18</v>
      </c>
      <c r="D973" s="2" t="s">
        <v>25</v>
      </c>
      <c r="E973" s="2" t="s">
        <v>34</v>
      </c>
      <c r="F973" s="2" t="s">
        <v>39</v>
      </c>
      <c r="G973" s="3">
        <v>1981058</v>
      </c>
      <c r="H973" s="3">
        <v>1576469</v>
      </c>
      <c r="I973" s="2" t="s">
        <v>40</v>
      </c>
      <c r="J973" s="3">
        <f t="shared" si="15"/>
        <v>131372.41666666666</v>
      </c>
    </row>
    <row r="974" spans="1:10" x14ac:dyDescent="0.35">
      <c r="A974" s="2" t="s">
        <v>10</v>
      </c>
      <c r="B974" s="2" t="s">
        <v>16</v>
      </c>
      <c r="C974" s="2" t="s">
        <v>19</v>
      </c>
      <c r="D974" s="2" t="s">
        <v>21</v>
      </c>
      <c r="E974" s="2" t="s">
        <v>33</v>
      </c>
      <c r="F974" s="2" t="s">
        <v>37</v>
      </c>
      <c r="G974" s="3">
        <v>5481005</v>
      </c>
      <c r="H974" s="3">
        <v>4489796</v>
      </c>
      <c r="I974" s="2" t="s">
        <v>40</v>
      </c>
      <c r="J974" s="3">
        <f t="shared" si="15"/>
        <v>374149.66666666669</v>
      </c>
    </row>
    <row r="975" spans="1:10" x14ac:dyDescent="0.35">
      <c r="A975" s="2" t="s">
        <v>13</v>
      </c>
      <c r="B975" s="2" t="s">
        <v>16</v>
      </c>
      <c r="C975" s="2" t="s">
        <v>19</v>
      </c>
      <c r="D975" s="2" t="s">
        <v>26</v>
      </c>
      <c r="E975" s="2" t="s">
        <v>35</v>
      </c>
      <c r="F975" s="2" t="s">
        <v>38</v>
      </c>
      <c r="G975" s="3">
        <v>3773074</v>
      </c>
      <c r="H975" s="3">
        <v>2821047</v>
      </c>
      <c r="I975" s="2" t="s">
        <v>9</v>
      </c>
      <c r="J975" s="3">
        <f t="shared" si="15"/>
        <v>235087.25</v>
      </c>
    </row>
    <row r="976" spans="1:10" x14ac:dyDescent="0.35">
      <c r="A976" s="2" t="s">
        <v>12</v>
      </c>
      <c r="B976" s="2" t="s">
        <v>15</v>
      </c>
      <c r="C976" s="2" t="s">
        <v>18</v>
      </c>
      <c r="D976" s="2" t="s">
        <v>22</v>
      </c>
      <c r="E976" s="2" t="s">
        <v>33</v>
      </c>
      <c r="F976" s="2" t="s">
        <v>38</v>
      </c>
      <c r="G976" s="3">
        <v>610202</v>
      </c>
      <c r="H976" s="3">
        <v>472174</v>
      </c>
      <c r="I976" s="2" t="s">
        <v>11</v>
      </c>
      <c r="J976" s="3">
        <f t="shared" si="15"/>
        <v>39347.833333333336</v>
      </c>
    </row>
    <row r="977" spans="1:10" x14ac:dyDescent="0.35">
      <c r="A977" s="2" t="s">
        <v>14</v>
      </c>
      <c r="B977" s="2" t="s">
        <v>16</v>
      </c>
      <c r="C977" s="2" t="s">
        <v>18</v>
      </c>
      <c r="D977" s="2" t="s">
        <v>21</v>
      </c>
      <c r="E977" s="2" t="s">
        <v>30</v>
      </c>
      <c r="F977" s="2" t="s">
        <v>39</v>
      </c>
      <c r="G977" s="3">
        <v>6858486</v>
      </c>
      <c r="H977" s="3">
        <v>5052178</v>
      </c>
      <c r="I977" s="2" t="s">
        <v>40</v>
      </c>
      <c r="J977" s="3">
        <f t="shared" si="15"/>
        <v>421014.83333333331</v>
      </c>
    </row>
    <row r="978" spans="1:10" x14ac:dyDescent="0.35">
      <c r="A978" s="2" t="s">
        <v>14</v>
      </c>
      <c r="B978" s="2" t="s">
        <v>17</v>
      </c>
      <c r="C978" s="2" t="s">
        <v>18</v>
      </c>
      <c r="D978" s="2" t="s">
        <v>28</v>
      </c>
      <c r="E978" s="2" t="s">
        <v>32</v>
      </c>
      <c r="F978" s="2" t="s">
        <v>37</v>
      </c>
      <c r="G978" s="3">
        <v>2716094</v>
      </c>
      <c r="H978" s="3">
        <v>2029891</v>
      </c>
      <c r="I978" s="2" t="s">
        <v>40</v>
      </c>
      <c r="J978" s="3">
        <f t="shared" si="15"/>
        <v>169157.58333333334</v>
      </c>
    </row>
    <row r="979" spans="1:10" x14ac:dyDescent="0.35">
      <c r="A979" s="2" t="s">
        <v>11</v>
      </c>
      <c r="B979" s="2" t="s">
        <v>17</v>
      </c>
      <c r="C979" s="2" t="s">
        <v>18</v>
      </c>
      <c r="D979" s="2" t="s">
        <v>21</v>
      </c>
      <c r="E979" s="2" t="s">
        <v>32</v>
      </c>
      <c r="F979" s="2" t="s">
        <v>37</v>
      </c>
      <c r="G979" s="3">
        <v>2166003</v>
      </c>
      <c r="H979" s="3">
        <v>1685957</v>
      </c>
      <c r="I979" s="2" t="s">
        <v>11</v>
      </c>
      <c r="J979" s="3">
        <f t="shared" si="15"/>
        <v>140496.41666666666</v>
      </c>
    </row>
    <row r="980" spans="1:10" x14ac:dyDescent="0.35">
      <c r="A980" s="2" t="s">
        <v>11</v>
      </c>
      <c r="B980" s="2" t="s">
        <v>16</v>
      </c>
      <c r="C980" s="2" t="s">
        <v>18</v>
      </c>
      <c r="D980" s="2" t="s">
        <v>26</v>
      </c>
      <c r="E980" s="2" t="s">
        <v>31</v>
      </c>
      <c r="F980" s="2" t="s">
        <v>39</v>
      </c>
      <c r="G980" s="3">
        <v>3117027</v>
      </c>
      <c r="H980" s="3">
        <v>2507923</v>
      </c>
      <c r="I980" s="2" t="s">
        <v>11</v>
      </c>
      <c r="J980" s="3">
        <f t="shared" si="15"/>
        <v>208993.58333333334</v>
      </c>
    </row>
    <row r="981" spans="1:10" x14ac:dyDescent="0.35">
      <c r="A981" s="2" t="s">
        <v>12</v>
      </c>
      <c r="B981" s="2" t="s">
        <v>17</v>
      </c>
      <c r="C981" s="2" t="s">
        <v>18</v>
      </c>
      <c r="D981" s="2" t="s">
        <v>23</v>
      </c>
      <c r="E981" s="2" t="s">
        <v>35</v>
      </c>
      <c r="F981" s="2" t="s">
        <v>37</v>
      </c>
      <c r="G981" s="3">
        <v>1923428</v>
      </c>
      <c r="H981" s="3">
        <v>1396215</v>
      </c>
      <c r="I981" s="2" t="s">
        <v>11</v>
      </c>
      <c r="J981" s="3">
        <f t="shared" si="15"/>
        <v>116351.25</v>
      </c>
    </row>
    <row r="982" spans="1:10" x14ac:dyDescent="0.35">
      <c r="A982" s="2" t="s">
        <v>11</v>
      </c>
      <c r="B982" s="2" t="s">
        <v>16</v>
      </c>
      <c r="C982" s="2" t="s">
        <v>19</v>
      </c>
      <c r="D982" s="2" t="s">
        <v>24</v>
      </c>
      <c r="E982" s="2" t="s">
        <v>31</v>
      </c>
      <c r="F982" s="2" t="s">
        <v>39</v>
      </c>
      <c r="G982" s="3">
        <v>5959356</v>
      </c>
      <c r="H982" s="3">
        <v>4557004</v>
      </c>
      <c r="I982" s="2" t="s">
        <v>11</v>
      </c>
      <c r="J982" s="3">
        <f t="shared" si="15"/>
        <v>379750.33333333331</v>
      </c>
    </row>
    <row r="983" spans="1:10" x14ac:dyDescent="0.35">
      <c r="A983" s="2" t="s">
        <v>13</v>
      </c>
      <c r="B983" s="2" t="s">
        <v>16</v>
      </c>
      <c r="C983" s="2" t="s">
        <v>18</v>
      </c>
      <c r="D983" s="2" t="s">
        <v>22</v>
      </c>
      <c r="E983" s="2" t="s">
        <v>35</v>
      </c>
      <c r="F983" s="2" t="s">
        <v>37</v>
      </c>
      <c r="G983" s="3">
        <v>3594356</v>
      </c>
      <c r="H983" s="3">
        <v>2541587</v>
      </c>
      <c r="I983" s="2" t="s">
        <v>9</v>
      </c>
      <c r="J983" s="3">
        <f t="shared" si="15"/>
        <v>211798.91666666666</v>
      </c>
    </row>
    <row r="984" spans="1:10" x14ac:dyDescent="0.35">
      <c r="A984" s="2" t="s">
        <v>11</v>
      </c>
      <c r="B984" s="2" t="s">
        <v>17</v>
      </c>
      <c r="C984" s="2" t="s">
        <v>18</v>
      </c>
      <c r="D984" s="2" t="s">
        <v>22</v>
      </c>
      <c r="E984" s="2" t="s">
        <v>32</v>
      </c>
      <c r="F984" s="2" t="s">
        <v>39</v>
      </c>
      <c r="G984" s="3">
        <v>1763614</v>
      </c>
      <c r="H984" s="3">
        <v>1248993</v>
      </c>
      <c r="I984" s="2" t="s">
        <v>11</v>
      </c>
      <c r="J984" s="3">
        <f t="shared" si="15"/>
        <v>104082.75</v>
      </c>
    </row>
    <row r="985" spans="1:10" x14ac:dyDescent="0.35">
      <c r="A985" s="2" t="s">
        <v>11</v>
      </c>
      <c r="B985" s="2" t="s">
        <v>16</v>
      </c>
      <c r="C985" s="2" t="s">
        <v>19</v>
      </c>
      <c r="D985" s="2" t="s">
        <v>26</v>
      </c>
      <c r="E985" s="2" t="s">
        <v>31</v>
      </c>
      <c r="F985" s="2" t="s">
        <v>38</v>
      </c>
      <c r="G985" s="3">
        <v>4642824</v>
      </c>
      <c r="H985" s="3">
        <v>3255402</v>
      </c>
      <c r="I985" s="2" t="s">
        <v>11</v>
      </c>
      <c r="J985" s="3">
        <f t="shared" si="15"/>
        <v>271283.5</v>
      </c>
    </row>
    <row r="986" spans="1:10" x14ac:dyDescent="0.35">
      <c r="A986" s="2" t="s">
        <v>10</v>
      </c>
      <c r="B986" s="2" t="s">
        <v>17</v>
      </c>
      <c r="C986" s="2" t="s">
        <v>18</v>
      </c>
      <c r="D986" s="2" t="s">
        <v>23</v>
      </c>
      <c r="E986" s="2" t="s">
        <v>31</v>
      </c>
      <c r="F986" s="2" t="s">
        <v>39</v>
      </c>
      <c r="G986" s="3">
        <v>2912739</v>
      </c>
      <c r="H986" s="3">
        <v>2075023</v>
      </c>
      <c r="I986" s="2" t="s">
        <v>40</v>
      </c>
      <c r="J986" s="3">
        <f t="shared" si="15"/>
        <v>172918.58333333334</v>
      </c>
    </row>
    <row r="987" spans="1:10" x14ac:dyDescent="0.35">
      <c r="A987" s="2" t="s">
        <v>12</v>
      </c>
      <c r="B987" s="2" t="s">
        <v>16</v>
      </c>
      <c r="C987" s="2" t="s">
        <v>19</v>
      </c>
      <c r="D987" s="2" t="s">
        <v>20</v>
      </c>
      <c r="E987" s="2" t="s">
        <v>34</v>
      </c>
      <c r="F987" s="2" t="s">
        <v>39</v>
      </c>
      <c r="G987" s="3">
        <v>5391283</v>
      </c>
      <c r="H987" s="3">
        <v>4084257</v>
      </c>
      <c r="I987" s="2" t="s">
        <v>11</v>
      </c>
      <c r="J987" s="3">
        <f t="shared" si="15"/>
        <v>340354.75</v>
      </c>
    </row>
    <row r="988" spans="1:10" x14ac:dyDescent="0.35">
      <c r="A988" s="2" t="s">
        <v>13</v>
      </c>
      <c r="B988" s="2" t="s">
        <v>15</v>
      </c>
      <c r="C988" s="2" t="s">
        <v>19</v>
      </c>
      <c r="D988" s="2" t="s">
        <v>22</v>
      </c>
      <c r="E988" s="2" t="s">
        <v>33</v>
      </c>
      <c r="F988" s="2" t="s">
        <v>39</v>
      </c>
      <c r="G988" s="3">
        <v>591402</v>
      </c>
      <c r="H988" s="3">
        <v>466357</v>
      </c>
      <c r="I988" s="2" t="s">
        <v>9</v>
      </c>
      <c r="J988" s="3">
        <f t="shared" si="15"/>
        <v>38863.083333333336</v>
      </c>
    </row>
    <row r="989" spans="1:10" x14ac:dyDescent="0.35">
      <c r="A989" s="2" t="s">
        <v>9</v>
      </c>
      <c r="B989" s="2" t="s">
        <v>16</v>
      </c>
      <c r="C989" s="2" t="s">
        <v>19</v>
      </c>
      <c r="D989" s="2" t="s">
        <v>26</v>
      </c>
      <c r="E989" s="2" t="s">
        <v>35</v>
      </c>
      <c r="F989" s="2" t="s">
        <v>38</v>
      </c>
      <c r="G989" s="3">
        <v>1807392</v>
      </c>
      <c r="H989" s="3">
        <v>1451850</v>
      </c>
      <c r="I989" s="2" t="s">
        <v>9</v>
      </c>
      <c r="J989" s="3">
        <f t="shared" si="15"/>
        <v>120987.5</v>
      </c>
    </row>
    <row r="990" spans="1:10" x14ac:dyDescent="0.35">
      <c r="A990" s="2" t="s">
        <v>11</v>
      </c>
      <c r="B990" s="2" t="s">
        <v>17</v>
      </c>
      <c r="C990" s="2" t="s">
        <v>18</v>
      </c>
      <c r="D990" s="2" t="s">
        <v>22</v>
      </c>
      <c r="E990" s="2" t="s">
        <v>35</v>
      </c>
      <c r="F990" s="2" t="s">
        <v>39</v>
      </c>
      <c r="G990" s="3">
        <v>1987504</v>
      </c>
      <c r="H990" s="3">
        <v>1517245</v>
      </c>
      <c r="I990" s="2" t="s">
        <v>11</v>
      </c>
      <c r="J990" s="3">
        <f t="shared" si="15"/>
        <v>126437.08333333333</v>
      </c>
    </row>
    <row r="991" spans="1:10" x14ac:dyDescent="0.35">
      <c r="A991" s="2" t="s">
        <v>13</v>
      </c>
      <c r="B991" s="2" t="s">
        <v>16</v>
      </c>
      <c r="C991" s="2" t="s">
        <v>18</v>
      </c>
      <c r="D991" s="2" t="s">
        <v>23</v>
      </c>
      <c r="E991" s="2" t="s">
        <v>32</v>
      </c>
      <c r="F991" s="2" t="s">
        <v>37</v>
      </c>
      <c r="G991" s="3">
        <v>4631932</v>
      </c>
      <c r="H991" s="3">
        <v>3775918</v>
      </c>
      <c r="I991" s="2" t="s">
        <v>9</v>
      </c>
      <c r="J991" s="3">
        <f t="shared" si="15"/>
        <v>314659.83333333331</v>
      </c>
    </row>
    <row r="992" spans="1:10" x14ac:dyDescent="0.35">
      <c r="A992" s="2" t="s">
        <v>11</v>
      </c>
      <c r="B992" s="2" t="s">
        <v>15</v>
      </c>
      <c r="C992" s="2" t="s">
        <v>18</v>
      </c>
      <c r="D992" s="2" t="s">
        <v>25</v>
      </c>
      <c r="E992" s="2" t="s">
        <v>30</v>
      </c>
      <c r="F992" s="2" t="s">
        <v>38</v>
      </c>
      <c r="G992" s="3">
        <v>651418</v>
      </c>
      <c r="H992" s="3">
        <v>491878</v>
      </c>
      <c r="I992" s="2" t="s">
        <v>11</v>
      </c>
      <c r="J992" s="3">
        <f t="shared" si="15"/>
        <v>40989.833333333336</v>
      </c>
    </row>
    <row r="993" spans="1:10" x14ac:dyDescent="0.35">
      <c r="A993" s="2" t="s">
        <v>10</v>
      </c>
      <c r="B993" s="2" t="s">
        <v>16</v>
      </c>
      <c r="C993" s="2" t="s">
        <v>18</v>
      </c>
      <c r="D993" s="2" t="s">
        <v>25</v>
      </c>
      <c r="E993" s="2" t="s">
        <v>34</v>
      </c>
      <c r="F993" s="2" t="s">
        <v>38</v>
      </c>
      <c r="G993" s="3">
        <v>3740251</v>
      </c>
      <c r="H993" s="3">
        <v>2646739</v>
      </c>
      <c r="I993" s="2" t="s">
        <v>40</v>
      </c>
      <c r="J993" s="3">
        <f t="shared" si="15"/>
        <v>220561.58333333334</v>
      </c>
    </row>
    <row r="994" spans="1:10" x14ac:dyDescent="0.35">
      <c r="A994" s="2" t="s">
        <v>11</v>
      </c>
      <c r="B994" s="2" t="s">
        <v>17</v>
      </c>
      <c r="C994" s="2" t="s">
        <v>18</v>
      </c>
      <c r="D994" s="2" t="s">
        <v>26</v>
      </c>
      <c r="E994" s="2" t="s">
        <v>29</v>
      </c>
      <c r="F994" s="2" t="s">
        <v>36</v>
      </c>
      <c r="G994" s="3">
        <v>1379708</v>
      </c>
      <c r="H994" s="3">
        <v>1097468</v>
      </c>
      <c r="I994" s="2" t="s">
        <v>11</v>
      </c>
      <c r="J994" s="3">
        <f t="shared" si="15"/>
        <v>91455.666666666672</v>
      </c>
    </row>
    <row r="995" spans="1:10" x14ac:dyDescent="0.35">
      <c r="A995" s="2" t="s">
        <v>14</v>
      </c>
      <c r="B995" s="2" t="s">
        <v>16</v>
      </c>
      <c r="C995" s="2" t="s">
        <v>18</v>
      </c>
      <c r="D995" s="2" t="s">
        <v>20</v>
      </c>
      <c r="E995" s="2" t="s">
        <v>34</v>
      </c>
      <c r="F995" s="2" t="s">
        <v>37</v>
      </c>
      <c r="G995" s="3">
        <v>3307470</v>
      </c>
      <c r="H995" s="3">
        <v>2617474</v>
      </c>
      <c r="I995" s="2" t="s">
        <v>40</v>
      </c>
      <c r="J995" s="3">
        <f t="shared" si="15"/>
        <v>218122.83333333334</v>
      </c>
    </row>
    <row r="996" spans="1:10" x14ac:dyDescent="0.35">
      <c r="A996" s="2" t="s">
        <v>12</v>
      </c>
      <c r="B996" s="2" t="s">
        <v>16</v>
      </c>
      <c r="C996" s="2" t="s">
        <v>19</v>
      </c>
      <c r="D996" s="2" t="s">
        <v>27</v>
      </c>
      <c r="E996" s="2" t="s">
        <v>30</v>
      </c>
      <c r="F996" s="2" t="s">
        <v>36</v>
      </c>
      <c r="G996" s="3">
        <v>3118274</v>
      </c>
      <c r="H996" s="3">
        <v>2497611</v>
      </c>
      <c r="I996" s="2" t="s">
        <v>11</v>
      </c>
      <c r="J996" s="3">
        <f t="shared" si="15"/>
        <v>208134.25</v>
      </c>
    </row>
    <row r="997" spans="1:10" x14ac:dyDescent="0.35">
      <c r="A997" s="2" t="s">
        <v>14</v>
      </c>
      <c r="B997" s="2" t="s">
        <v>16</v>
      </c>
      <c r="C997" s="2" t="s">
        <v>18</v>
      </c>
      <c r="D997" s="2" t="s">
        <v>23</v>
      </c>
      <c r="E997" s="2" t="s">
        <v>30</v>
      </c>
      <c r="F997" s="2" t="s">
        <v>37</v>
      </c>
      <c r="G997" s="3">
        <v>4691125</v>
      </c>
      <c r="H997" s="3">
        <v>3610720</v>
      </c>
      <c r="I997" s="2" t="s">
        <v>40</v>
      </c>
      <c r="J997" s="3">
        <f t="shared" si="15"/>
        <v>300893.33333333331</v>
      </c>
    </row>
    <row r="998" spans="1:10" x14ac:dyDescent="0.35">
      <c r="A998" s="2" t="s">
        <v>11</v>
      </c>
      <c r="B998" s="2" t="s">
        <v>15</v>
      </c>
      <c r="C998" s="2" t="s">
        <v>19</v>
      </c>
      <c r="D998" s="2" t="s">
        <v>25</v>
      </c>
      <c r="E998" s="2" t="s">
        <v>29</v>
      </c>
      <c r="F998" s="2" t="s">
        <v>39</v>
      </c>
      <c r="G998" s="3">
        <v>1048392</v>
      </c>
      <c r="H998" s="3">
        <v>752389</v>
      </c>
      <c r="I998" s="2" t="s">
        <v>11</v>
      </c>
      <c r="J998" s="3">
        <f t="shared" si="15"/>
        <v>62699.083333333336</v>
      </c>
    </row>
    <row r="999" spans="1:10" x14ac:dyDescent="0.35">
      <c r="A999" s="2" t="s">
        <v>12</v>
      </c>
      <c r="B999" s="2" t="s">
        <v>15</v>
      </c>
      <c r="C999" s="2" t="s">
        <v>19</v>
      </c>
      <c r="D999" s="2" t="s">
        <v>21</v>
      </c>
      <c r="E999" s="2" t="s">
        <v>30</v>
      </c>
      <c r="F999" s="2" t="s">
        <v>37</v>
      </c>
      <c r="G999" s="3">
        <v>978329</v>
      </c>
      <c r="H999" s="3">
        <v>768201</v>
      </c>
      <c r="I999" s="2" t="s">
        <v>11</v>
      </c>
      <c r="J999" s="3">
        <f t="shared" si="15"/>
        <v>64016.75</v>
      </c>
    </row>
    <row r="1000" spans="1:10" x14ac:dyDescent="0.35">
      <c r="A1000" s="2" t="s">
        <v>14</v>
      </c>
      <c r="B1000" s="2" t="s">
        <v>16</v>
      </c>
      <c r="C1000" s="2" t="s">
        <v>19</v>
      </c>
      <c r="D1000" s="2" t="s">
        <v>21</v>
      </c>
      <c r="E1000" s="2" t="s">
        <v>31</v>
      </c>
      <c r="F1000" s="2" t="s">
        <v>37</v>
      </c>
      <c r="G1000" s="3">
        <v>6789738</v>
      </c>
      <c r="H1000" s="3">
        <v>5053024</v>
      </c>
      <c r="I1000" s="2" t="s">
        <v>40</v>
      </c>
      <c r="J1000" s="3">
        <f t="shared" si="15"/>
        <v>421085.33333333331</v>
      </c>
    </row>
    <row r="1001" spans="1:10" x14ac:dyDescent="0.35">
      <c r="A1001" s="2" t="s">
        <v>13</v>
      </c>
      <c r="B1001" s="2" t="s">
        <v>16</v>
      </c>
      <c r="C1001" s="2" t="s">
        <v>19</v>
      </c>
      <c r="D1001" s="2" t="s">
        <v>20</v>
      </c>
      <c r="E1001" s="2" t="s">
        <v>32</v>
      </c>
      <c r="F1001" s="2" t="s">
        <v>39</v>
      </c>
      <c r="G1001" s="3">
        <v>4835241</v>
      </c>
      <c r="H1001" s="3">
        <v>3818430</v>
      </c>
      <c r="I1001" s="2" t="s">
        <v>9</v>
      </c>
      <c r="J1001" s="3">
        <f t="shared" si="15"/>
        <v>318202.5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3DB6-2923-4676-BF06-7761277CA3C8}">
  <sheetPr codeName="Sheet1"/>
  <dimension ref="A3:B7"/>
  <sheetViews>
    <sheetView zoomScale="80" workbookViewId="0">
      <selection activeCell="B4" sqref="B4"/>
    </sheetView>
  </sheetViews>
  <sheetFormatPr defaultRowHeight="14.5" x14ac:dyDescent="0.35"/>
  <cols>
    <col min="1" max="1" width="13.36328125" bestFit="1" customWidth="1"/>
    <col min="2" max="3" width="25" bestFit="1" customWidth="1"/>
  </cols>
  <sheetData>
    <row r="3" spans="1:2" x14ac:dyDescent="0.35">
      <c r="A3" s="4" t="s">
        <v>42</v>
      </c>
      <c r="B3" t="s">
        <v>45</v>
      </c>
    </row>
    <row r="4" spans="1:2" x14ac:dyDescent="0.35">
      <c r="A4" s="5" t="s">
        <v>40</v>
      </c>
      <c r="B4">
        <v>2962988.6900958465</v>
      </c>
    </row>
    <row r="5" spans="1:2" x14ac:dyDescent="0.35">
      <c r="A5" s="5" t="s">
        <v>9</v>
      </c>
      <c r="B5">
        <v>1940276.867816092</v>
      </c>
    </row>
    <row r="6" spans="1:2" x14ac:dyDescent="0.35">
      <c r="A6" s="5" t="s">
        <v>11</v>
      </c>
      <c r="B6">
        <v>2314777.4306784659</v>
      </c>
    </row>
    <row r="7" spans="1:2" x14ac:dyDescent="0.35">
      <c r="A7" s="5" t="s">
        <v>43</v>
      </c>
      <c r="B7">
        <v>2387341.3590000002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65D7-693B-4CD9-B115-B00388C6B527}">
  <dimension ref="A3:D7"/>
  <sheetViews>
    <sheetView zoomScale="86" workbookViewId="0">
      <selection activeCell="B7" sqref="B7"/>
    </sheetView>
  </sheetViews>
  <sheetFormatPr defaultRowHeight="14.5" x14ac:dyDescent="0.35"/>
  <cols>
    <col min="1" max="1" width="24.08984375" bestFit="1" customWidth="1"/>
    <col min="2" max="5" width="13.54296875" bestFit="1" customWidth="1"/>
  </cols>
  <sheetData>
    <row r="3" spans="1:4" x14ac:dyDescent="0.35">
      <c r="A3" s="4" t="s">
        <v>45</v>
      </c>
    </row>
    <row r="4" spans="1:4" x14ac:dyDescent="0.35">
      <c r="B4" t="s">
        <v>40</v>
      </c>
      <c r="C4" t="s">
        <v>9</v>
      </c>
      <c r="D4" t="s">
        <v>11</v>
      </c>
    </row>
    <row r="5" spans="1:4" x14ac:dyDescent="0.35">
      <c r="A5" s="5" t="s">
        <v>15</v>
      </c>
      <c r="B5" s="6">
        <v>1109968.2038834952</v>
      </c>
      <c r="C5" s="6">
        <v>735634.85436893208</v>
      </c>
      <c r="D5" s="6">
        <v>816502.33644859819</v>
      </c>
    </row>
    <row r="6" spans="1:4" x14ac:dyDescent="0.35">
      <c r="A6" s="5" t="s">
        <v>17</v>
      </c>
      <c r="B6" s="6">
        <v>2333037.8571428573</v>
      </c>
      <c r="C6" s="6">
        <v>1558787.05</v>
      </c>
      <c r="D6" s="6">
        <v>1845299.7456140351</v>
      </c>
    </row>
    <row r="7" spans="1:4" x14ac:dyDescent="0.35">
      <c r="A7" s="5" t="s">
        <v>16</v>
      </c>
      <c r="B7" s="6">
        <v>5048590.6722689075</v>
      </c>
      <c r="C7" s="6">
        <v>3299132.1120000002</v>
      </c>
      <c r="D7" s="6">
        <v>4126946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7D1F-D5E2-4835-96C7-4594369F754A}">
  <dimension ref="B3:L17"/>
  <sheetViews>
    <sheetView zoomScale="79" workbookViewId="0">
      <selection activeCell="M17" sqref="M17"/>
    </sheetView>
  </sheetViews>
  <sheetFormatPr defaultRowHeight="14.5" x14ac:dyDescent="0.35"/>
  <cols>
    <col min="2" max="2" width="13.08984375" bestFit="1" customWidth="1"/>
    <col min="3" max="3" width="23.7265625" bestFit="1" customWidth="1"/>
    <col min="4" max="6" width="13" bestFit="1" customWidth="1"/>
    <col min="16" max="16" width="11.36328125" customWidth="1"/>
    <col min="17" max="17" width="11.81640625" customWidth="1"/>
  </cols>
  <sheetData>
    <row r="3" spans="2:12" x14ac:dyDescent="0.35">
      <c r="B3" s="4" t="s">
        <v>42</v>
      </c>
      <c r="C3" t="s">
        <v>45</v>
      </c>
    </row>
    <row r="4" spans="2:12" x14ac:dyDescent="0.35">
      <c r="B4" s="5" t="s">
        <v>24</v>
      </c>
      <c r="C4" s="6">
        <v>2478993.3465346536</v>
      </c>
    </row>
    <row r="5" spans="2:12" x14ac:dyDescent="0.35">
      <c r="B5" s="5" t="s">
        <v>22</v>
      </c>
      <c r="C5" s="6">
        <v>2341830.2636363637</v>
      </c>
    </row>
    <row r="6" spans="2:12" x14ac:dyDescent="0.35">
      <c r="B6" s="5" t="s">
        <v>26</v>
      </c>
      <c r="C6" s="6">
        <v>2488222.6637931033</v>
      </c>
    </row>
    <row r="7" spans="2:12" x14ac:dyDescent="0.35">
      <c r="B7" s="5" t="s">
        <v>20</v>
      </c>
      <c r="C7" s="6">
        <v>2298943</v>
      </c>
    </row>
    <row r="8" spans="2:12" x14ac:dyDescent="0.35">
      <c r="B8" s="5" t="s">
        <v>27</v>
      </c>
      <c r="C8" s="6">
        <v>2102121.0865384615</v>
      </c>
    </row>
    <row r="9" spans="2:12" x14ac:dyDescent="0.35">
      <c r="B9" s="5" t="s">
        <v>23</v>
      </c>
      <c r="C9" s="6">
        <v>2645543.4215686275</v>
      </c>
    </row>
    <row r="10" spans="2:12" x14ac:dyDescent="0.35">
      <c r="B10" s="5" t="s">
        <v>28</v>
      </c>
      <c r="C10" s="6">
        <v>2428841.3980582524</v>
      </c>
    </row>
    <row r="11" spans="2:12" x14ac:dyDescent="0.35">
      <c r="B11" s="5" t="s">
        <v>21</v>
      </c>
      <c r="C11" s="6">
        <v>2499804.8360655736</v>
      </c>
    </row>
    <row r="12" spans="2:12" x14ac:dyDescent="0.35">
      <c r="B12" s="5" t="s">
        <v>25</v>
      </c>
      <c r="C12" s="6">
        <v>2224513.8951612902</v>
      </c>
    </row>
    <row r="13" spans="2:12" x14ac:dyDescent="0.35">
      <c r="B13" s="5" t="s">
        <v>43</v>
      </c>
      <c r="C13" s="6">
        <v>2387341.3590000002</v>
      </c>
    </row>
    <row r="16" spans="2:12" x14ac:dyDescent="0.35">
      <c r="D16" s="5"/>
      <c r="E16" s="5"/>
      <c r="F16" s="5"/>
      <c r="G16" s="5"/>
      <c r="H16" s="5"/>
      <c r="I16" s="5"/>
      <c r="J16" s="5"/>
      <c r="K16" s="5"/>
      <c r="L16" s="5"/>
    </row>
    <row r="17" spans="4:12" x14ac:dyDescent="0.35">
      <c r="D17" s="6"/>
      <c r="E17" s="6"/>
      <c r="F17" s="6"/>
      <c r="G17" s="6"/>
      <c r="H17" s="6"/>
      <c r="I17" s="6"/>
      <c r="J17" s="6"/>
      <c r="K17" s="6"/>
      <c r="L17" s="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3ED0-483A-4DEE-B80B-106CFF7DF149}">
  <dimension ref="A3:D8"/>
  <sheetViews>
    <sheetView zoomScale="59" workbookViewId="0">
      <selection activeCell="M29" sqref="M29"/>
    </sheetView>
  </sheetViews>
  <sheetFormatPr defaultRowHeight="14.5" x14ac:dyDescent="0.35"/>
  <cols>
    <col min="1" max="1" width="24.08984375" bestFit="1" customWidth="1"/>
    <col min="2" max="2" width="17" bestFit="1" customWidth="1"/>
    <col min="3" max="4" width="13.6328125" bestFit="1" customWidth="1"/>
  </cols>
  <sheetData>
    <row r="3" spans="1:4" x14ac:dyDescent="0.35">
      <c r="A3" s="4" t="s">
        <v>45</v>
      </c>
      <c r="B3" s="4" t="s">
        <v>44</v>
      </c>
    </row>
    <row r="4" spans="1:4" x14ac:dyDescent="0.35">
      <c r="A4" s="4" t="s">
        <v>42</v>
      </c>
      <c r="B4" t="s">
        <v>18</v>
      </c>
      <c r="C4" t="s">
        <v>19</v>
      </c>
      <c r="D4" t="s">
        <v>43</v>
      </c>
    </row>
    <row r="5" spans="1:4" x14ac:dyDescent="0.35">
      <c r="A5" s="5" t="s">
        <v>40</v>
      </c>
      <c r="B5" s="6">
        <v>3007789.0060975607</v>
      </c>
      <c r="C5" s="6">
        <v>2913678.2751677851</v>
      </c>
      <c r="D5" s="6">
        <v>2962988.6900958465</v>
      </c>
    </row>
    <row r="6" spans="1:4" x14ac:dyDescent="0.35">
      <c r="A6" s="5" t="s">
        <v>9</v>
      </c>
      <c r="B6" s="6">
        <v>1931032.448979592</v>
      </c>
      <c r="C6" s="6">
        <v>1952197.3026315789</v>
      </c>
      <c r="D6" s="6">
        <v>1940276.867816092</v>
      </c>
    </row>
    <row r="7" spans="1:4" x14ac:dyDescent="0.35">
      <c r="A7" s="5" t="s">
        <v>11</v>
      </c>
      <c r="B7" s="6">
        <v>2183615.4153005467</v>
      </c>
      <c r="C7" s="6">
        <v>2468640.564102564</v>
      </c>
      <c r="D7" s="6">
        <v>2314777.4306784659</v>
      </c>
    </row>
    <row r="8" spans="1:4" x14ac:dyDescent="0.35">
      <c r="A8" s="5" t="s">
        <v>43</v>
      </c>
      <c r="B8" s="6">
        <v>2341365.3370165746</v>
      </c>
      <c r="C8" s="6">
        <v>2441969.3238512035</v>
      </c>
      <c r="D8" s="6">
        <v>2387341.3590000002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984F-5DBA-4199-86D7-95727530CFD2}">
  <dimension ref="A3:B8"/>
  <sheetViews>
    <sheetView workbookViewId="0">
      <selection activeCell="L9" sqref="L9"/>
    </sheetView>
  </sheetViews>
  <sheetFormatPr defaultRowHeight="14.5" x14ac:dyDescent="0.35"/>
  <cols>
    <col min="1" max="1" width="12.36328125" bestFit="1" customWidth="1"/>
    <col min="2" max="2" width="23.7265625" bestFit="1" customWidth="1"/>
  </cols>
  <sheetData>
    <row r="3" spans="1:2" x14ac:dyDescent="0.35">
      <c r="A3" s="4" t="s">
        <v>42</v>
      </c>
      <c r="B3" t="s">
        <v>45</v>
      </c>
    </row>
    <row r="4" spans="1:2" x14ac:dyDescent="0.35">
      <c r="A4" s="5" t="s">
        <v>36</v>
      </c>
      <c r="B4" s="6">
        <v>2221504.6536964979</v>
      </c>
    </row>
    <row r="5" spans="1:2" x14ac:dyDescent="0.35">
      <c r="A5" s="5" t="s">
        <v>37</v>
      </c>
      <c r="B5" s="6">
        <v>2401585.5836734693</v>
      </c>
    </row>
    <row r="6" spans="1:2" x14ac:dyDescent="0.35">
      <c r="A6" s="5" t="s">
        <v>39</v>
      </c>
      <c r="B6" s="6">
        <v>2484765.4297188753</v>
      </c>
    </row>
    <row r="7" spans="1:2" x14ac:dyDescent="0.35">
      <c r="A7" s="5" t="s">
        <v>38</v>
      </c>
      <c r="B7" s="6">
        <v>2447066.6787148593</v>
      </c>
    </row>
    <row r="8" spans="1:2" x14ac:dyDescent="0.35">
      <c r="A8" s="5" t="s">
        <v>43</v>
      </c>
      <c r="B8" s="6">
        <v>2387341.3590000002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792EB-29EB-43F7-B383-B6EF45A47B05}">
  <dimension ref="A3:C21"/>
  <sheetViews>
    <sheetView workbookViewId="0">
      <selection activeCell="B16" sqref="B16"/>
    </sheetView>
  </sheetViews>
  <sheetFormatPr defaultRowHeight="14.5" x14ac:dyDescent="0.35"/>
  <cols>
    <col min="1" max="1" width="12.36328125" bestFit="1" customWidth="1"/>
    <col min="2" max="2" width="23.7265625" bestFit="1" customWidth="1"/>
    <col min="3" max="3" width="13.08984375" customWidth="1"/>
  </cols>
  <sheetData>
    <row r="3" spans="1:3" x14ac:dyDescent="0.35">
      <c r="A3" s="4" t="s">
        <v>42</v>
      </c>
      <c r="B3" t="s">
        <v>45</v>
      </c>
    </row>
    <row r="4" spans="1:3" x14ac:dyDescent="0.35">
      <c r="A4" s="5" t="s">
        <v>33</v>
      </c>
      <c r="B4" s="6">
        <v>2259154.2878787881</v>
      </c>
    </row>
    <row r="5" spans="1:3" x14ac:dyDescent="0.35">
      <c r="A5" s="5" t="s">
        <v>34</v>
      </c>
      <c r="B5" s="6">
        <v>2323065.4834437086</v>
      </c>
    </row>
    <row r="6" spans="1:3" x14ac:dyDescent="0.35">
      <c r="A6" s="5" t="s">
        <v>30</v>
      </c>
      <c r="B6" s="6">
        <v>2530877.418181818</v>
      </c>
    </row>
    <row r="7" spans="1:3" x14ac:dyDescent="0.35">
      <c r="A7" s="5" t="s">
        <v>31</v>
      </c>
      <c r="B7" s="6">
        <v>2365171.6834532376</v>
      </c>
    </row>
    <row r="8" spans="1:3" x14ac:dyDescent="0.35">
      <c r="A8" s="5" t="s">
        <v>29</v>
      </c>
      <c r="B8" s="6">
        <v>2256752.6338028167</v>
      </c>
    </row>
    <row r="9" spans="1:3" x14ac:dyDescent="0.35">
      <c r="A9" s="5" t="s">
        <v>35</v>
      </c>
      <c r="B9" s="6">
        <v>2510110.6911764704</v>
      </c>
    </row>
    <row r="10" spans="1:3" x14ac:dyDescent="0.35">
      <c r="A10" s="5" t="s">
        <v>32</v>
      </c>
      <c r="B10" s="6">
        <v>2445648.4370370372</v>
      </c>
    </row>
    <row r="11" spans="1:3" x14ac:dyDescent="0.35">
      <c r="A11" s="5" t="s">
        <v>43</v>
      </c>
      <c r="B11" s="6">
        <v>2387341.3590000002</v>
      </c>
    </row>
    <row r="15" spans="1:3" x14ac:dyDescent="0.35">
      <c r="B15" s="5"/>
      <c r="C15" s="6"/>
    </row>
    <row r="16" spans="1:3" x14ac:dyDescent="0.35">
      <c r="B16" s="5"/>
      <c r="C16" s="6"/>
    </row>
    <row r="17" spans="2:3" x14ac:dyDescent="0.35">
      <c r="B17" s="5"/>
      <c r="C17" s="6"/>
    </row>
    <row r="18" spans="2:3" x14ac:dyDescent="0.35">
      <c r="B18" s="5"/>
      <c r="C18" s="6"/>
    </row>
    <row r="19" spans="2:3" x14ac:dyDescent="0.35">
      <c r="B19" s="5"/>
      <c r="C19" s="6"/>
    </row>
    <row r="20" spans="2:3" x14ac:dyDescent="0.35">
      <c r="B20" s="5"/>
      <c r="C20" s="6"/>
    </row>
    <row r="21" spans="2:3" x14ac:dyDescent="0.35">
      <c r="B21" s="5"/>
      <c r="C21" s="6"/>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273B-73FF-49B7-A713-1AF09BD32D72}">
  <dimension ref="A3:B7"/>
  <sheetViews>
    <sheetView workbookViewId="0">
      <selection activeCell="M10" sqref="M10"/>
    </sheetView>
  </sheetViews>
  <sheetFormatPr defaultRowHeight="14.5" x14ac:dyDescent="0.35"/>
  <cols>
    <col min="1" max="1" width="12.36328125" bestFit="1" customWidth="1"/>
    <col min="2" max="2" width="15.54296875" bestFit="1" customWidth="1"/>
  </cols>
  <sheetData>
    <row r="3" spans="1:2" x14ac:dyDescent="0.35">
      <c r="A3" s="4" t="s">
        <v>42</v>
      </c>
      <c r="B3" t="s">
        <v>46</v>
      </c>
    </row>
    <row r="4" spans="1:2" x14ac:dyDescent="0.35">
      <c r="A4" s="5" t="s">
        <v>40</v>
      </c>
      <c r="B4" s="9">
        <v>313</v>
      </c>
    </row>
    <row r="5" spans="1:2" x14ac:dyDescent="0.35">
      <c r="A5" s="5" t="s">
        <v>9</v>
      </c>
      <c r="B5" s="9">
        <v>348</v>
      </c>
    </row>
    <row r="6" spans="1:2" x14ac:dyDescent="0.35">
      <c r="A6" s="5" t="s">
        <v>11</v>
      </c>
      <c r="B6" s="9">
        <v>339</v>
      </c>
    </row>
    <row r="7" spans="1:2" x14ac:dyDescent="0.35">
      <c r="A7" s="5" t="s">
        <v>43</v>
      </c>
      <c r="B7" s="9">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06F11-E212-41CC-A26A-566998C7BBA3}">
  <dimension ref="G4:H8"/>
  <sheetViews>
    <sheetView topLeftCell="E2" workbookViewId="0">
      <selection activeCell="O15" sqref="O15"/>
    </sheetView>
  </sheetViews>
  <sheetFormatPr defaultRowHeight="14.5" x14ac:dyDescent="0.35"/>
  <cols>
    <col min="7" max="7" width="12.36328125" bestFit="1" customWidth="1"/>
    <col min="8" max="8" width="23.7265625" bestFit="1" customWidth="1"/>
  </cols>
  <sheetData>
    <row r="4" spans="7:8" x14ac:dyDescent="0.35">
      <c r="G4" s="4" t="s">
        <v>42</v>
      </c>
      <c r="H4" t="s">
        <v>45</v>
      </c>
    </row>
    <row r="5" spans="7:8" x14ac:dyDescent="0.35">
      <c r="G5" s="5" t="s">
        <v>40</v>
      </c>
      <c r="H5" s="6">
        <v>2962988.6900958465</v>
      </c>
    </row>
    <row r="6" spans="7:8" x14ac:dyDescent="0.35">
      <c r="G6" s="5" t="s">
        <v>9</v>
      </c>
      <c r="H6" s="6">
        <v>1940276.867816092</v>
      </c>
    </row>
    <row r="7" spans="7:8" x14ac:dyDescent="0.35">
      <c r="G7" s="5" t="s">
        <v>11</v>
      </c>
      <c r="H7" s="6">
        <v>2314777.4306784659</v>
      </c>
    </row>
    <row r="8" spans="7:8" x14ac:dyDescent="0.35">
      <c r="G8" s="5" t="s">
        <v>43</v>
      </c>
      <c r="H8" s="6">
        <v>2387341.3590000002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TechSalaryDataset</vt:lpstr>
      <vt:lpstr>Salary Comparison by role</vt:lpstr>
      <vt:lpstr>SalaryGrowthCurv</vt:lpstr>
      <vt:lpstr>city vs Avg salary</vt:lpstr>
      <vt:lpstr>male vs female salary</vt:lpstr>
      <vt:lpstr>CompanyTypeImpact</vt:lpstr>
      <vt:lpstr>Average Salary by Education</vt:lpstr>
      <vt:lpstr>Headcount Distribution</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Rohit Gharal</cp:lastModifiedBy>
  <dcterms:created xsi:type="dcterms:W3CDTF">2025-08-24T15:33:19Z</dcterms:created>
  <dcterms:modified xsi:type="dcterms:W3CDTF">2025-09-05T08:02:41Z</dcterms:modified>
</cp:coreProperties>
</file>